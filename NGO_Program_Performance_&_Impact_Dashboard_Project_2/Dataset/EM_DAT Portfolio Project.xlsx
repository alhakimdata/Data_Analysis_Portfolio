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109E0450-961B-4D00-9B01-E1C9B5F881CA}" xr6:coauthVersionLast="47" xr6:coauthVersionMax="47" xr10:uidLastSave="{00000000-0000-0000-0000-000000000000}"/>
  <bookViews>
    <workbookView xWindow="-120" yWindow="-120" windowWidth="29040" windowHeight="15840" activeTab="4" xr2:uid="{410B2399-1008-4C46-B2B0-37D91A9CACFE}"/>
  </bookViews>
  <sheets>
    <sheet name="Dashboard" sheetId="8" r:id="rId1"/>
    <sheet name="1-Budget vs Actual Spending" sheetId="3" r:id="rId2"/>
    <sheet name="2-Cost per Beneficiary" sheetId="4" r:id="rId3"/>
    <sheet name="3-Outcome Rate Distribution" sheetId="5" r:id="rId4"/>
    <sheet name="Total Affected vs Beneficiaries" sheetId="6" r:id="rId5"/>
    <sheet name="Master_Data" sheetId="1" r:id="rId6"/>
    <sheet name="Program_Mapping" sheetId="2" r:id="rId7"/>
  </sheets>
  <definedNames>
    <definedName name="ExternalData_1" localSheetId="5" hidden="1">Master_Data!$A$1:$U$98</definedName>
    <definedName name="ExternalData_1" localSheetId="6" hidden="1">Program_Mapping!$A$1:$B$8</definedName>
    <definedName name="Slicer_Program_Nam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Data2_c6fd29f3-6faa-410a-ab4e-e2bc40a16689" name="Master_Data2" connection="Query - Master_Data2"/>
          <x15:modelTable id="Program_Mapping3_4226a0e8-42aa-41e1-9133-be1786fbc3e6" name="Program_Mapping3" connection="Query - Program_Mapping3"/>
          <x15:modelTable id="tbl_EMDAT1_07bf2c22-d49b-452c-85da-2a4cb7fa5577" name="tbl_EMDAT1" connection="Query - tbl_EMDA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U48" i="1" l="1"/>
  <c r="U2" i="1"/>
  <c r="U16" i="1"/>
  <c r="U17" i="1"/>
  <c r="U49" i="1"/>
  <c r="U84" i="1"/>
  <c r="U85" i="1"/>
  <c r="U86" i="1"/>
  <c r="U3" i="1"/>
  <c r="U50" i="1"/>
  <c r="U51" i="1"/>
  <c r="U18" i="1"/>
  <c r="U52" i="1"/>
  <c r="U87" i="1"/>
  <c r="U53" i="1"/>
  <c r="U88" i="1"/>
  <c r="U89" i="1"/>
  <c r="U19" i="1"/>
  <c r="U4" i="1"/>
  <c r="U54" i="1"/>
  <c r="U5" i="1"/>
  <c r="U55" i="1"/>
  <c r="U90" i="1"/>
  <c r="U20" i="1"/>
  <c r="U91" i="1"/>
  <c r="U21" i="1"/>
  <c r="U92" i="1"/>
  <c r="U6" i="1"/>
  <c r="U7" i="1"/>
  <c r="U8" i="1"/>
  <c r="U9" i="1"/>
  <c r="U22" i="1"/>
  <c r="U93" i="1"/>
  <c r="U23" i="1"/>
  <c r="U10" i="1"/>
  <c r="U56" i="1"/>
  <c r="U11" i="1"/>
  <c r="U94" i="1"/>
  <c r="U57" i="1"/>
  <c r="U95" i="1"/>
  <c r="U81" i="1"/>
  <c r="U96" i="1"/>
  <c r="U24" i="1"/>
  <c r="U97" i="1"/>
  <c r="U26" i="1"/>
  <c r="U12" i="1"/>
  <c r="U27" i="1"/>
  <c r="U25" i="1"/>
  <c r="U13" i="1"/>
  <c r="U14" i="1"/>
  <c r="U98" i="1"/>
  <c r="U58" i="1"/>
  <c r="U28" i="1"/>
  <c r="U29" i="1"/>
  <c r="U15" i="1"/>
  <c r="U30" i="1"/>
  <c r="U59" i="1"/>
  <c r="U33" i="1"/>
  <c r="U77" i="1"/>
  <c r="U31" i="1"/>
  <c r="U32" i="1"/>
  <c r="U60" i="1"/>
  <c r="U34" i="1"/>
  <c r="U35" i="1"/>
  <c r="U61" i="1"/>
  <c r="U62" i="1"/>
  <c r="U82" i="1"/>
  <c r="U63" i="1"/>
  <c r="U36" i="1"/>
  <c r="U37" i="1"/>
  <c r="U78" i="1"/>
  <c r="U64" i="1"/>
  <c r="U79" i="1"/>
  <c r="U38" i="1"/>
  <c r="U71" i="1"/>
  <c r="U39" i="1"/>
  <c r="U65" i="1"/>
  <c r="U41" i="1"/>
  <c r="U80" i="1"/>
  <c r="U40" i="1"/>
  <c r="U42" i="1"/>
  <c r="U66" i="1"/>
  <c r="U72" i="1"/>
  <c r="U67" i="1"/>
  <c r="U43" i="1"/>
  <c r="U44" i="1"/>
  <c r="U68" i="1"/>
  <c r="U45" i="1"/>
  <c r="U46" i="1"/>
  <c r="U47" i="1"/>
  <c r="U73" i="1"/>
  <c r="U69" i="1"/>
  <c r="U74" i="1"/>
  <c r="U70" i="1"/>
  <c r="U75" i="1"/>
  <c r="U76" i="1"/>
  <c r="U83" i="1"/>
  <c r="T70" i="1"/>
  <c r="T74" i="1"/>
  <c r="T68" i="1"/>
  <c r="T44" i="1"/>
  <c r="T43" i="1"/>
  <c r="T67" i="1"/>
  <c r="T42" i="1"/>
  <c r="T64" i="1"/>
  <c r="T40" i="1"/>
  <c r="T79" i="1"/>
  <c r="T78" i="1"/>
  <c r="T63" i="1"/>
  <c r="T62" i="1"/>
  <c r="T34" i="1"/>
  <c r="T31" i="1"/>
  <c r="T33" i="1"/>
  <c r="T29" i="1"/>
  <c r="T58" i="1"/>
  <c r="T27" i="1"/>
  <c r="T81" i="1"/>
  <c r="T96" i="1"/>
  <c r="T56" i="1"/>
  <c r="T93" i="1"/>
  <c r="T22" i="1"/>
  <c r="T92" i="1"/>
  <c r="T21" i="1"/>
  <c r="T54" i="1"/>
  <c r="T55" i="1"/>
  <c r="T20" i="1"/>
  <c r="T89" i="1"/>
  <c r="T19" i="1"/>
  <c r="T4" i="1"/>
  <c r="T87" i="1"/>
  <c r="T50" i="1"/>
  <c r="T75" i="1"/>
  <c r="T69" i="1"/>
  <c r="T73" i="1"/>
  <c r="T47" i="1"/>
  <c r="T46" i="1"/>
  <c r="T45" i="1"/>
  <c r="T72" i="1"/>
  <c r="T71" i="1"/>
  <c r="T41" i="1"/>
  <c r="T65" i="1"/>
  <c r="T66" i="1"/>
  <c r="T38" i="1"/>
  <c r="T39" i="1"/>
  <c r="T61" i="1"/>
  <c r="T77" i="1"/>
  <c r="T30" i="1"/>
  <c r="T32" i="1"/>
  <c r="T82" i="1"/>
  <c r="T60" i="1"/>
  <c r="T14" i="1"/>
  <c r="T15" i="1"/>
  <c r="T26" i="1"/>
  <c r="T98" i="1"/>
  <c r="T97" i="1"/>
  <c r="T13" i="1"/>
  <c r="T95" i="1"/>
  <c r="T12" i="1"/>
  <c r="T24" i="1"/>
  <c r="T57" i="1"/>
  <c r="T25" i="1"/>
  <c r="T94" i="1"/>
  <c r="T10" i="1"/>
  <c r="T23" i="1"/>
  <c r="T11" i="1"/>
  <c r="T7" i="1"/>
  <c r="T91" i="1"/>
  <c r="T8" i="1"/>
  <c r="T90" i="1"/>
  <c r="T6" i="1"/>
  <c r="T5" i="1"/>
  <c r="T51" i="1"/>
  <c r="T88" i="1"/>
  <c r="T53" i="1"/>
  <c r="T3" i="1"/>
  <c r="T52" i="1"/>
  <c r="T86" i="1"/>
  <c r="T18" i="1"/>
  <c r="T85" i="1"/>
  <c r="T17" i="1"/>
  <c r="T49" i="1"/>
  <c r="T84" i="1"/>
  <c r="T48" i="1"/>
  <c r="T83" i="1"/>
  <c r="T16" i="1"/>
  <c r="T2" i="1"/>
  <c r="T80" i="1"/>
  <c r="T37" i="1"/>
  <c r="T36" i="1"/>
  <c r="T35" i="1"/>
  <c r="T59" i="1"/>
  <c r="T28" i="1"/>
  <c r="T9" i="1"/>
  <c r="T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61EC43-8A49-4E44-9436-FA594126C769}" keepAlive="1" name="ModelConnection_ExternalData_1" description="Data Model" type="5" refreshedVersion="8" minRefreshableVersion="5" saveData="1">
    <dbPr connection="Data Model Connection" command="tbl_EMDAT1" commandType="3"/>
    <extLst>
      <ext xmlns:x15="http://schemas.microsoft.com/office/spreadsheetml/2010/11/main" uri="{DE250136-89BD-433C-8126-D09CA5730AF9}">
        <x15:connection id="" model="1"/>
      </ext>
    </extLst>
  </connection>
  <connection id="2" xr16:uid="{8CFC6CAA-2051-4E2A-B3BF-D866E8937358}" keepAlive="1" name="ModelConnection_ExternalData_11" description="Data Model" type="5" refreshedVersion="8" minRefreshableVersion="5" saveData="1">
    <dbPr connection="Data Model Connection" command="Program_Mapping3" commandType="3"/>
    <extLst>
      <ext xmlns:x15="http://schemas.microsoft.com/office/spreadsheetml/2010/11/main" uri="{DE250136-89BD-433C-8126-D09CA5730AF9}">
        <x15:connection id="" model="1"/>
      </ext>
    </extLst>
  </connection>
  <connection id="3" xr16:uid="{0845D6B9-518F-4C10-BC11-13F523D02FD4}" name="Query - Master_Data2" description="Connection to the 'Master_Data2' query in the workbook." type="100" refreshedVersion="8" minRefreshableVersion="5">
    <extLst>
      <ext xmlns:x15="http://schemas.microsoft.com/office/spreadsheetml/2010/11/main" uri="{DE250136-89BD-433C-8126-D09CA5730AF9}">
        <x15:connection id="e531a370-fc4c-498d-a199-77a7d55ed4c4"/>
      </ext>
    </extLst>
  </connection>
  <connection id="4" xr16:uid="{D56CE3B3-51F2-44D8-98A8-BBEEDA72CD12}" name="Query - Program_Mapping3" description="Connection to the 'Program_Mapping3' query in the workbook." type="100" refreshedVersion="8" minRefreshableVersion="5">
    <extLst>
      <ext xmlns:x15="http://schemas.microsoft.com/office/spreadsheetml/2010/11/main" uri="{DE250136-89BD-433C-8126-D09CA5730AF9}">
        <x15:connection id="ede3d1f9-a3ce-4a74-9fa6-67d02d415472"/>
      </ext>
    </extLst>
  </connection>
  <connection id="5" xr16:uid="{62CEE804-A7C5-402B-98B7-79AB288B0FAF}" name="Query - tbl_EMDAT1" description="Connection to the 'tbl_EMDAT1' query in the workbook." type="100" refreshedVersion="8" minRefreshableVersion="5">
    <extLst>
      <ext xmlns:x15="http://schemas.microsoft.com/office/spreadsheetml/2010/11/main" uri="{DE250136-89BD-433C-8126-D09CA5730AF9}">
        <x15:connection id="22dfba4d-becb-4030-a9d6-345d403ee2fe"/>
      </ext>
    </extLst>
  </connection>
  <connection id="6" xr16:uid="{521B24ED-624E-4A73-BC6E-D748F81B4A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<sst xmlns="http://schemas.openxmlformats.org/spreadsheetml/2006/main" count="839" uniqueCount="156">
  <si>
    <t>DisNo.</t>
  </si>
  <si>
    <t>Year</t>
  </si>
  <si>
    <t>Country</t>
  </si>
  <si>
    <t>Disaster_Group</t>
  </si>
  <si>
    <t>Disaster_Subgroup</t>
  </si>
  <si>
    <t>Disaster_Type</t>
  </si>
  <si>
    <t>Disaster_Subtype</t>
  </si>
  <si>
    <t>Region</t>
  </si>
  <si>
    <t>Deaths</t>
  </si>
  <si>
    <t>Injured</t>
  </si>
  <si>
    <t>Affected</t>
  </si>
  <si>
    <t>Homeless</t>
  </si>
  <si>
    <t>Total_Affected</t>
  </si>
  <si>
    <t>Total_Damage_USD</t>
  </si>
  <si>
    <t>Program_Name</t>
  </si>
  <si>
    <t>Budget_Allocated_USD</t>
  </si>
  <si>
    <t>Actual_Spending_USD</t>
  </si>
  <si>
    <t>Beneficiaries_Served</t>
  </si>
  <si>
    <t>Outcome_Rate</t>
  </si>
  <si>
    <t>Cost_per_Beneficiary</t>
  </si>
  <si>
    <t>Budget_Variance_USD</t>
  </si>
  <si>
    <t>2020-0568-PHL</t>
  </si>
  <si>
    <t>Philippines</t>
  </si>
  <si>
    <t>Natural</t>
  </si>
  <si>
    <t>Hydrological</t>
  </si>
  <si>
    <t>Mass movement (wet)</t>
  </si>
  <si>
    <t>Landslide (wet)</t>
  </si>
  <si>
    <t>Asia</t>
  </si>
  <si>
    <t>Emergency Relief</t>
  </si>
  <si>
    <t>2023-0739-PHL</t>
  </si>
  <si>
    <t>Geophysical</t>
  </si>
  <si>
    <t>Earthquake</t>
  </si>
  <si>
    <t>Ground movement</t>
  </si>
  <si>
    <t>2025-0480-PHL</t>
  </si>
  <si>
    <t>Flood</t>
  </si>
  <si>
    <t>Flood (General)</t>
  </si>
  <si>
    <t>2022-0195-PHL</t>
  </si>
  <si>
    <t>Flash flood</t>
  </si>
  <si>
    <t>2019-0362-PHL</t>
  </si>
  <si>
    <t>2021-0226-PHL</t>
  </si>
  <si>
    <t>2019-0489-PHL</t>
  </si>
  <si>
    <t>2020-0370-PHL</t>
  </si>
  <si>
    <t>2019-0356-PHL</t>
  </si>
  <si>
    <t>2022-0685-PHL</t>
  </si>
  <si>
    <t>2019-0162-PHL</t>
  </si>
  <si>
    <t>2021-0108-PHL</t>
  </si>
  <si>
    <t>2024-0585-PHL</t>
  </si>
  <si>
    <t>2021-0682-PHL</t>
  </si>
  <si>
    <t>2019-0522-PHL</t>
  </si>
  <si>
    <t>2023-0094-PHL</t>
  </si>
  <si>
    <t>2021-0022-PHL</t>
  </si>
  <si>
    <t>2019-0264-PHL</t>
  </si>
  <si>
    <t>2023-0762-PHL</t>
  </si>
  <si>
    <t>2025-0088-PHL</t>
  </si>
  <si>
    <t>2022-0703-PHL</t>
  </si>
  <si>
    <t>2023-0102-PHL</t>
  </si>
  <si>
    <t>2019-0529-PHL</t>
  </si>
  <si>
    <t>2021-0006-PHL</t>
  </si>
  <si>
    <t>2019-0619-PHL</t>
  </si>
  <si>
    <t>2022-0448-PHL</t>
  </si>
  <si>
    <t>2022-0832-PHL</t>
  </si>
  <si>
    <t>2023-0791-PHL</t>
  </si>
  <si>
    <t>2025-0844-PHL</t>
  </si>
  <si>
    <t>2025-0870-PHL</t>
  </si>
  <si>
    <t>2023-0802-PHL</t>
  </si>
  <si>
    <t>2024-0020-PHL</t>
  </si>
  <si>
    <t>2024-0057-PHL</t>
  </si>
  <si>
    <t>2024-0043-PHL</t>
  </si>
  <si>
    <t>2023-0002-PHL</t>
  </si>
  <si>
    <t>2024-0275-PHL</t>
  </si>
  <si>
    <t>Meteorological</t>
  </si>
  <si>
    <t>Extreme temperature</t>
  </si>
  <si>
    <t>Heat wave</t>
  </si>
  <si>
    <t>Health &amp; WASH</t>
  </si>
  <si>
    <t>2020-0452-PHL</t>
  </si>
  <si>
    <t>Storm</t>
  </si>
  <si>
    <t>Tropical cyclone</t>
  </si>
  <si>
    <t>2023-0623-PHL</t>
  </si>
  <si>
    <t>2023-0450-PHL</t>
  </si>
  <si>
    <t>2019-0549-PHL</t>
  </si>
  <si>
    <t>2019-0349-PHL</t>
  </si>
  <si>
    <t>2019-0541-PHL</t>
  </si>
  <si>
    <t>2022-0665-PHL</t>
  </si>
  <si>
    <t>2022-0547-PHL</t>
  </si>
  <si>
    <t>2021-0664-PHL</t>
  </si>
  <si>
    <t>2019-0021-PHL</t>
  </si>
  <si>
    <t>2021-0236-PHL</t>
  </si>
  <si>
    <t>2025-0440-PHL</t>
  </si>
  <si>
    <t>2021-0339-PHL</t>
  </si>
  <si>
    <t>2023-0300-PHL</t>
  </si>
  <si>
    <t>2020-0558-PHL</t>
  </si>
  <si>
    <t>2021-0079-PHL</t>
  </si>
  <si>
    <t>Severe weather</t>
  </si>
  <si>
    <t>2024-0337-PHL</t>
  </si>
  <si>
    <t>2019-0434-PHL</t>
  </si>
  <si>
    <t>2024-0695-PHL</t>
  </si>
  <si>
    <t>2022-0680-PHL</t>
  </si>
  <si>
    <t>2023-0246-PHL</t>
  </si>
  <si>
    <t>2024-0666-PHL</t>
  </si>
  <si>
    <t>2024-0711-PHL</t>
  </si>
  <si>
    <t>2025-0385-PHL</t>
  </si>
  <si>
    <t>2021-0091-PHL</t>
  </si>
  <si>
    <t>2025-0998-PHL</t>
  </si>
  <si>
    <t>2024-0829-PHL</t>
  </si>
  <si>
    <t>2021-0595-PHL</t>
  </si>
  <si>
    <t>2025-0879-PHL</t>
  </si>
  <si>
    <t>2025-0896-PHL</t>
  </si>
  <si>
    <t>2024-0825-PHL</t>
  </si>
  <si>
    <t>2023-0842-PHL</t>
  </si>
  <si>
    <t>2020-0501-PHL</t>
  </si>
  <si>
    <t>2020-0203-PHL</t>
  </si>
  <si>
    <t>2025-0793-PHL</t>
  </si>
  <si>
    <t>2020-0470-PHL</t>
  </si>
  <si>
    <t>2023-0568-PHL</t>
  </si>
  <si>
    <t>2022-0613-PHL</t>
  </si>
  <si>
    <t>Storm surge</t>
  </si>
  <si>
    <t>2021-0670-PHL</t>
  </si>
  <si>
    <t>2022-0204-PHL</t>
  </si>
  <si>
    <t>2019-0573-PHL</t>
  </si>
  <si>
    <t>2024-0654-PHL</t>
  </si>
  <si>
    <t>2019-0634-PHL</t>
  </si>
  <si>
    <t>2022-0707-PHL</t>
  </si>
  <si>
    <t>2020-0463-PHL</t>
  </si>
  <si>
    <t>2024-0855-PHL</t>
  </si>
  <si>
    <t>2025-0813-PHL</t>
  </si>
  <si>
    <t>2023-0464-PHL</t>
  </si>
  <si>
    <t>2025-0935-PHL</t>
  </si>
  <si>
    <t>2025-0593-PHL</t>
  </si>
  <si>
    <t>2024-0522-PHL</t>
  </si>
  <si>
    <t>2025-0954-PHL</t>
  </si>
  <si>
    <t>Storm (General)</t>
  </si>
  <si>
    <t>2024-0777-PHL</t>
  </si>
  <si>
    <t>2021-0813-PHL</t>
  </si>
  <si>
    <t>2022-0176-PHL</t>
  </si>
  <si>
    <t>Volcanic activity</t>
  </si>
  <si>
    <t>Volcanic activity (General)</t>
  </si>
  <si>
    <t>Shelter &amp; Recovery</t>
  </si>
  <si>
    <t>2021-0376-PHL</t>
  </si>
  <si>
    <t>2024-0323-PHL</t>
  </si>
  <si>
    <t>Lahar</t>
  </si>
  <si>
    <t>2023-0355-PHL</t>
  </si>
  <si>
    <t>Lava flow</t>
  </si>
  <si>
    <t>2024-0895-PHL</t>
  </si>
  <si>
    <t>Ash fall</t>
  </si>
  <si>
    <t>2025-0314-PHL</t>
  </si>
  <si>
    <t>2020-0008-PHL</t>
  </si>
  <si>
    <t>Column1</t>
  </si>
  <si>
    <t>Column2</t>
  </si>
  <si>
    <t>Row Labels</t>
  </si>
  <si>
    <t>Grand Total</t>
  </si>
  <si>
    <t>Sum of Budget_Allocated_USD</t>
  </si>
  <si>
    <t>Sum of Actual_Spending_USD</t>
  </si>
  <si>
    <t>Average of Cost_per_Beneficiary</t>
  </si>
  <si>
    <t>Average of Outcome_Rate</t>
  </si>
  <si>
    <t>Sum of Total_Affected</t>
  </si>
  <si>
    <t>Sum of Beneficiaries_Served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</si>
</sst>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9"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3">
    <dxf>
      <numFmt numFmtId="0" formatCode="General"/>
    </dxf>
    <dxf>
      <numFmt numFmtId="0" formatCode="General"/>
    </dxf>
    <dxf>
      <numFmt numFmtId="164" formatCode="&quot;$&quot;#,##0"/>
    </dxf>
    <dxf>
      <numFmt numFmtId="13"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[EM_DAT Portfolio Project.xlsx]1-Budget vs Actual Spending!PivotTable1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Budget vs Actual Spending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'1-Budget vs Actual Spending'!$B$3</c:f>
              <c:strCache>
                <c:ptCount val="1"/>
                <c:pt idx="0">
                  <c:v>Sum of Budget_Allocated_USD</c:v>
                </c:pt>
              </c:strCache>
            </c:strRef>
          </c:tx>
          <c:spPr>
            <a:solidFill>
              <a:schemeClr val="accent1">
                <a:shade val="76000"/>
              </a:schemeClr>
            </a:solidFill>
            <a:ln>
              <a:noFill/>
            </a:ln>
            <a:effectLst/>
          </c:spPr>
          <c:invertIfNegative val="0"/>
          <c:cat>
            <c:strRef>
              <c:f>'1-Budget vs Actual Spending'!$A$4:$A$7</c:f>
              <c:strCache>
                <c:ptCount val="3"/>
                <c:pt idx="0">
                  <c:v>Emergency Relief</c:v>
                </c:pt>
                <c:pt idx="1">
                  <c:v>Health &amp; WASH</c:v>
                </c:pt>
                <c:pt idx="2">
                  <c:v>Shelter &amp; Recovery</c:v>
                </c:pt>
              </c:strCache>
            </c:strRef>
          </c:cat>
          <c:val>
            <c:numRef>
              <c:f>'1-Budget vs Actual Spending'!$B$4:$B$7</c:f>
              <c:numCache>
                <c:formatCode>#,##0</c:formatCode>
                <c:ptCount val="3"/>
                <c:pt idx="0">
                  <c:v>61500000</c:v>
                </c:pt>
                <c:pt idx="1">
                  <c:v>121000000</c:v>
                </c:pt>
                <c:pt idx="2">
                  <c:v>10000000</c:v>
                </c:pt>
              </c:numCache>
            </c:numRef>
          </c:val>
          <c:extLst>
            <c:ext xmlns:c16="http://schemas.microsoft.com/office/drawing/2014/chart" uri="{C3380CC4-5D6E-409C-BE32-E72D297353CC}">
              <c16:uniqueId val="{00000000-09C6-4FCF-9655-5AA0F2ED1662}"/>
            </c:ext>
          </c:extLst>
        </c:ser>
        <c:ser>
          <c:idx val="1"/>
          <c:order val="1"/>
          <c:tx>
            <c:strRef>
              <c:f>'1-Budget vs Actual Spending'!$C$3</c:f>
              <c:strCache>
                <c:ptCount val="1"/>
                <c:pt idx="0">
                  <c:v>Sum of Actual_Spending_USD</c:v>
                </c:pt>
              </c:strCache>
            </c:strRef>
          </c:tx>
          <c:spPr>
            <a:solidFill>
              <a:schemeClr val="accent1">
                <a:tint val="77000"/>
              </a:schemeClr>
            </a:solidFill>
            <a:ln>
              <a:noFill/>
            </a:ln>
            <a:effectLst/>
          </c:spPr>
          <c:invertIfNegative val="0"/>
          <c:cat>
            <c:strRef>
              <c:f>'1-Budget vs Actual Spending'!$A$4:$A$7</c:f>
              <c:strCache>
                <c:ptCount val="3"/>
                <c:pt idx="0">
                  <c:v>Emergency Relief</c:v>
                </c:pt>
                <c:pt idx="1">
                  <c:v>Health &amp; WASH</c:v>
                </c:pt>
                <c:pt idx="2">
                  <c:v>Shelter &amp; Recovery</c:v>
                </c:pt>
              </c:strCache>
            </c:strRef>
          </c:cat>
          <c:val>
            <c:numRef>
              <c:f>'1-Budget vs Actual Spending'!$C$4:$C$7</c:f>
              <c:numCache>
                <c:formatCode>#,##0</c:formatCode>
                <c:ptCount val="3"/>
                <c:pt idx="0">
                  <c:v>60925000</c:v>
                </c:pt>
                <c:pt idx="1">
                  <c:v>122000000</c:v>
                </c:pt>
                <c:pt idx="2">
                  <c:v>10450000</c:v>
                </c:pt>
              </c:numCache>
            </c:numRef>
          </c:val>
          <c:extLst>
            <c:ext xmlns:c16="http://schemas.microsoft.com/office/drawing/2014/chart" uri="{C3380CC4-5D6E-409C-BE32-E72D297353CC}">
              <c16:uniqueId val="{00000001-09C6-4FCF-9655-5AA0F2ED1662}"/>
            </c:ext>
          </c:extLst>
        </c:ser>
        <c:dLbls>
          <c:showLegendKey val="0"/>
          <c:showVal val="0"/>
          <c:showCatName val="0"/>
          <c:showSerName val="0"/>
          <c:showPercent val="0"/>
          <c:showBubbleSize val="0"/>
        </c:dLbls>
        <c:gapWidth val="219"/>
        <c:overlap val="-27"/>
        <c:axId val="928107679"/>
        <c:axId val="916449311"/>
      </c:barChart>
      <c:catAx>
        <c:axId val="92810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49311"/>
        <c:crosses val="autoZero"/>
        <c:auto val="1"/>
        <c:lblAlgn val="ctr"/>
        <c:lblOffset val="100"/>
        <c:noMultiLvlLbl val="0"/>
      </c:catAx>
      <c:valAx>
        <c:axId val="916449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[EM_DAT Portfolio Project.xlsx]2-Cost per Beneficiary!PivotTable2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Cost per Beneficiary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'2-Cost per Beneficiary'!$B$3</c:f>
              <c:strCache>
                <c:ptCount val="1"/>
                <c:pt idx="0">
                  <c:v>Total</c:v>
                </c:pt>
              </c:strCache>
            </c:strRef>
          </c:tx>
          <c:spPr>
            <a:solidFill>
              <a:schemeClr val="accent1"/>
            </a:solidFill>
            <a:ln>
              <a:noFill/>
            </a:ln>
            <a:effectLst/>
          </c:spPr>
          <c:invertIfNegative val="0"/>
          <c:cat>
            <c:strRef>
              <c:f>'2-Cost per Beneficiary'!$A$4:$A$7</c:f>
              <c:strCache>
                <c:ptCount val="3"/>
                <c:pt idx="0">
                  <c:v>Shelter &amp; Recovery</c:v>
                </c:pt>
                <c:pt idx="1">
                  <c:v>Health &amp; WASH</c:v>
                </c:pt>
                <c:pt idx="2">
                  <c:v>Emergency Relief</c:v>
                </c:pt>
              </c:strCache>
            </c:strRef>
          </c:cat>
          <c:val>
            <c:numRef>
              <c:f>'2-Cost per Beneficiary'!$B$4:$B$7</c:f>
              <c:numCache>
                <c:formatCode>#,##0</c:formatCode>
                <c:ptCount val="3"/>
                <c:pt idx="0">
                  <c:v>130.32898288503458</c:v>
                </c:pt>
                <c:pt idx="1">
                  <c:v>1084.0889858794283</c:v>
                </c:pt>
                <c:pt idx="2">
                  <c:v>4517.7074678144136</c:v>
                </c:pt>
              </c:numCache>
            </c:numRef>
          </c:val>
          <c:extLst>
            <c:ext xmlns:c16="http://schemas.microsoft.com/office/drawing/2014/chart" uri="{C3380CC4-5D6E-409C-BE32-E72D297353CC}">
              <c16:uniqueId val="{00000000-E65D-47F4-8F88-45AFEBFF4DAF}"/>
            </c:ext>
          </c:extLst>
        </c:ser>
        <c:dLbls>
          <c:showLegendKey val="0"/>
          <c:showVal val="0"/>
          <c:showCatName val="0"/>
          <c:showSerName val="0"/>
          <c:showPercent val="0"/>
          <c:showBubbleSize val="0"/>
        </c:dLbls>
        <c:gapWidth val="182"/>
        <c:axId val="925445983"/>
        <c:axId val="383121887"/>
      </c:barChart>
      <c:catAx>
        <c:axId val="9254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21887"/>
        <c:crosses val="autoZero"/>
        <c:auto val="1"/>
        <c:lblAlgn val="ctr"/>
        <c:lblOffset val="100"/>
        <c:noMultiLvlLbl val="0"/>
      </c:catAx>
      <c:valAx>
        <c:axId val="3831218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4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[EM_DAT Portfolio Project.xlsx]3-Outcome Rate Distribution!PivotTable3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Outcome Rate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'3-Outcome Rate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'3-Outcome Rate Distribution'!$A$4:$A$7</c:f>
              <c:strCache>
                <c:ptCount val="3"/>
                <c:pt idx="0">
                  <c:v>Emergency Relief</c:v>
                </c:pt>
                <c:pt idx="1">
                  <c:v>Health &amp; WASH</c:v>
                </c:pt>
                <c:pt idx="2">
                  <c:v>Shelter &amp; Recovery</c:v>
                </c:pt>
              </c:strCache>
            </c:strRef>
          </c:cat>
          <c:val>
            <c:numRef>
              <c:f>'3-Outcome Rate Distribution'!$B$4:$B$7</c:f>
              <c:numCache>
                <c:formatCode>0%</c:formatCode>
                <c:ptCount val="3"/>
                <c:pt idx="0">
                  <c:v>0.81057142857142861</c:v>
                </c:pt>
                <c:pt idx="1">
                  <c:v>0.78090909090909089</c:v>
                </c:pt>
                <c:pt idx="2">
                  <c:v>0.73714285714285721</c:v>
                </c:pt>
              </c:numCache>
            </c:numRef>
          </c:val>
          <c:extLst>
            <c:ext xmlns:c16="http://schemas.microsoft.com/office/drawing/2014/chart" uri="{C3380CC4-5D6E-409C-BE32-E72D297353CC}">
              <c16:uniqueId val="{00000000-B8E5-46FC-B332-2D0AA6201B60}"/>
            </c:ext>
          </c:extLst>
        </c:ser>
        <c:dLbls>
          <c:dLblPos val="outEnd"/>
          <c:showLegendKey val="0"/>
          <c:showVal val="1"/>
          <c:showCatName val="0"/>
          <c:showSerName val="0"/>
          <c:showPercent val="0"/>
          <c:showBubbleSize val="0"/>
        </c:dLbls>
        <c:gapWidth val="219"/>
        <c:overlap val="-27"/>
        <c:axId val="928115839"/>
        <c:axId val="1136286015"/>
      </c:barChart>
      <c:catAx>
        <c:axId val="92811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86015"/>
        <c:crosses val="autoZero"/>
        <c:auto val="1"/>
        <c:lblAlgn val="ctr"/>
        <c:lblOffset val="100"/>
        <c:noMultiLvlLbl val="0"/>
      </c:catAx>
      <c:valAx>
        <c:axId val="1136286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1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[EM_DAT Portfolio Project.xlsx]Total Affected vs Beneficiaries!PivotTable4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Affected vs Beneficiaries Served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Affected vs Beneficiaries'!$B$3</c:f>
              <c:strCache>
                <c:ptCount val="1"/>
                <c:pt idx="0">
                  <c:v>Sum of Total_Affected</c:v>
                </c:pt>
              </c:strCache>
            </c:strRef>
          </c:tx>
          <c:spPr>
            <a:solidFill>
              <a:schemeClr val="accent1">
                <a:shade val="76000"/>
              </a:schemeClr>
            </a:solidFill>
            <a:ln>
              <a:noFill/>
            </a:ln>
            <a:effectLst/>
          </c:spPr>
          <c:invertIfNegative val="0"/>
          <c:cat>
            <c:strRef>
              <c:f>'Total Affected vs Beneficiaries'!$A$4:$A$7</c:f>
              <c:strCache>
                <c:ptCount val="3"/>
                <c:pt idx="0">
                  <c:v>Health &amp; WASH</c:v>
                </c:pt>
                <c:pt idx="1">
                  <c:v>Emergency Relief</c:v>
                </c:pt>
                <c:pt idx="2">
                  <c:v>Shelter &amp; Recovery</c:v>
                </c:pt>
              </c:strCache>
            </c:strRef>
          </c:cat>
          <c:val>
            <c:numRef>
              <c:f>'Total Affected vs Beneficiaries'!$B$4:$B$7</c:f>
              <c:numCache>
                <c:formatCode>#,##0</c:formatCode>
                <c:ptCount val="3"/>
                <c:pt idx="0">
                  <c:v>87274217</c:v>
                </c:pt>
                <c:pt idx="1">
                  <c:v>12685394</c:v>
                </c:pt>
                <c:pt idx="2">
                  <c:v>991864</c:v>
                </c:pt>
              </c:numCache>
            </c:numRef>
          </c:val>
          <c:extLst>
            <c:ext xmlns:c16="http://schemas.microsoft.com/office/drawing/2014/chart" uri="{C3380CC4-5D6E-409C-BE32-E72D297353CC}">
              <c16:uniqueId val="{00000000-F110-4B3F-A62D-40B856B75A3B}"/>
            </c:ext>
          </c:extLst>
        </c:ser>
        <c:dLbls>
          <c:showLegendKey val="0"/>
          <c:showVal val="0"/>
          <c:showCatName val="0"/>
          <c:showSerName val="0"/>
          <c:showPercent val="0"/>
          <c:showBubbleSize val="0"/>
        </c:dLbls>
        <c:gapWidth val="219"/>
        <c:overlap val="-27"/>
        <c:axId val="1146900863"/>
        <c:axId val="1141888335"/>
      </c:barChart>
      <c:lineChart>
        <c:grouping val="standard"/>
        <c:varyColors val="0"/>
        <c:ser>
          <c:idx val="1"/>
          <c:order val="1"/>
          <c:tx>
            <c:strRef>
              <c:f>'Total Affected vs Beneficiaries'!$C$3</c:f>
              <c:strCache>
                <c:ptCount val="1"/>
                <c:pt idx="0">
                  <c:v>Sum of Beneficiaries_Served</c:v>
                </c:pt>
              </c:strCache>
            </c:strRef>
          </c:tx>
          <c:spPr>
            <a:ln w="28575" cap="rnd">
              <a:solidFill>
                <a:schemeClr val="accent1">
                  <a:tint val="77000"/>
                </a:schemeClr>
              </a:solidFill>
              <a:round/>
            </a:ln>
            <a:effectLst/>
          </c:spPr>
          <c:marker>
            <c:symbol val="none"/>
          </c:marker>
          <c:cat>
            <c:strRef>
              <c:f>'Total Affected vs Beneficiaries'!$A$4:$A$7</c:f>
              <c:strCache>
                <c:ptCount val="3"/>
                <c:pt idx="0">
                  <c:v>Health &amp; WASH</c:v>
                </c:pt>
                <c:pt idx="1">
                  <c:v>Emergency Relief</c:v>
                </c:pt>
                <c:pt idx="2">
                  <c:v>Shelter &amp; Recovery</c:v>
                </c:pt>
              </c:strCache>
            </c:strRef>
          </c:cat>
          <c:val>
            <c:numRef>
              <c:f>'Total Affected vs Beneficiaries'!$C$4:$C$7</c:f>
              <c:numCache>
                <c:formatCode>#,##0</c:formatCode>
                <c:ptCount val="3"/>
                <c:pt idx="0">
                  <c:v>21531553.400000002</c:v>
                </c:pt>
                <c:pt idx="1">
                  <c:v>4813613.75</c:v>
                </c:pt>
                <c:pt idx="2">
                  <c:v>210817.09999999998</c:v>
                </c:pt>
              </c:numCache>
            </c:numRef>
          </c:val>
          <c:smooth val="0"/>
          <c:extLst>
            <c:ext xmlns:c16="http://schemas.microsoft.com/office/drawing/2014/chart" uri="{C3380CC4-5D6E-409C-BE32-E72D297353CC}">
              <c16:uniqueId val="{00000001-F110-4B3F-A62D-40B856B75A3B}"/>
            </c:ext>
          </c:extLst>
        </c:ser>
        <c:dLbls>
          <c:showLegendKey val="0"/>
          <c:showVal val="0"/>
          <c:showCatName val="0"/>
          <c:showSerName val="0"/>
          <c:showPercent val="0"/>
          <c:showBubbleSize val="0"/>
        </c:dLbls>
        <c:marker val="1"/>
        <c:smooth val="0"/>
        <c:axId val="1146904223"/>
        <c:axId val="1141892799"/>
      </c:lineChart>
      <c:catAx>
        <c:axId val="11469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88335"/>
        <c:crosses val="autoZero"/>
        <c:auto val="1"/>
        <c:lblAlgn val="ctr"/>
        <c:lblOffset val="100"/>
        <c:noMultiLvlLbl val="0"/>
      </c:catAx>
      <c:valAx>
        <c:axId val="114188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00863"/>
        <c:crosses val="autoZero"/>
        <c:crossBetween val="between"/>
      </c:valAx>
      <c:valAx>
        <c:axId val="114189279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04223"/>
        <c:crosses val="max"/>
        <c:crossBetween val="between"/>
      </c:valAx>
      <c:catAx>
        <c:axId val="1146904223"/>
        <c:scaling>
          <c:orientation val="minMax"/>
        </c:scaling>
        <c:delete val="1"/>
        <c:axPos val="b"/>
        <c:numFmt formatCode="General" sourceLinked="1"/>
        <c:majorTickMark val="out"/>
        <c:minorTickMark val="none"/>
        <c:tickLblPos val="nextTo"/>
        <c:crossAx val="1141892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[EM_DAT Portfolio Project.xlsx]1-Budget vs Actual Spending!PivotTable1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Budget vs Actual Spending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'1-Budget vs Actual Spending'!$B$3</c:f>
              <c:strCache>
                <c:ptCount val="1"/>
                <c:pt idx="0">
                  <c:v>Sum of Budget_Allocated_USD</c:v>
                </c:pt>
              </c:strCache>
            </c:strRef>
          </c:tx>
          <c:spPr>
            <a:solidFill>
              <a:schemeClr val="accent1">
                <a:shade val="76000"/>
              </a:schemeClr>
            </a:solidFill>
            <a:ln>
              <a:noFill/>
            </a:ln>
            <a:effectLst/>
          </c:spPr>
          <c:invertIfNegative val="0"/>
          <c:cat>
            <c:strRef>
              <c:f>'1-Budget vs Actual Spending'!$A$4:$A$7</c:f>
              <c:strCache>
                <c:ptCount val="3"/>
                <c:pt idx="0">
                  <c:v>Emergency Relief</c:v>
                </c:pt>
                <c:pt idx="1">
                  <c:v>Health &amp; WASH</c:v>
                </c:pt>
                <c:pt idx="2">
                  <c:v>Shelter &amp; Recovery</c:v>
                </c:pt>
              </c:strCache>
            </c:strRef>
          </c:cat>
          <c:val>
            <c:numRef>
              <c:f>'1-Budget vs Actual Spending'!$B$4:$B$7</c:f>
              <c:numCache>
                <c:formatCode>#,##0</c:formatCode>
                <c:ptCount val="3"/>
                <c:pt idx="0">
                  <c:v>61500000</c:v>
                </c:pt>
                <c:pt idx="1">
                  <c:v>121000000</c:v>
                </c:pt>
                <c:pt idx="2">
                  <c:v>10000000</c:v>
                </c:pt>
              </c:numCache>
            </c:numRef>
          </c:val>
          <c:extLst>
            <c:ext xmlns:c16="http://schemas.microsoft.com/office/drawing/2014/chart" uri="{C3380CC4-5D6E-409C-BE32-E72D297353CC}">
              <c16:uniqueId val="{00000000-3C21-491F-A409-593FBEE5CD4E}"/>
            </c:ext>
          </c:extLst>
        </c:ser>
        <c:ser>
          <c:idx val="1"/>
          <c:order val="1"/>
          <c:tx>
            <c:strRef>
              <c:f>'1-Budget vs Actual Spending'!$C$3</c:f>
              <c:strCache>
                <c:ptCount val="1"/>
                <c:pt idx="0">
                  <c:v>Sum of Actual_Spending_USD</c:v>
                </c:pt>
              </c:strCache>
            </c:strRef>
          </c:tx>
          <c:spPr>
            <a:solidFill>
              <a:schemeClr val="accent1">
                <a:tint val="77000"/>
              </a:schemeClr>
            </a:solidFill>
            <a:ln>
              <a:noFill/>
            </a:ln>
            <a:effectLst/>
          </c:spPr>
          <c:invertIfNegative val="0"/>
          <c:cat>
            <c:strRef>
              <c:f>'1-Budget vs Actual Spending'!$A$4:$A$7</c:f>
              <c:strCache>
                <c:ptCount val="3"/>
                <c:pt idx="0">
                  <c:v>Emergency Relief</c:v>
                </c:pt>
                <c:pt idx="1">
                  <c:v>Health &amp; WASH</c:v>
                </c:pt>
                <c:pt idx="2">
                  <c:v>Shelter &amp; Recovery</c:v>
                </c:pt>
              </c:strCache>
            </c:strRef>
          </c:cat>
          <c:val>
            <c:numRef>
              <c:f>'1-Budget vs Actual Spending'!$C$4:$C$7</c:f>
              <c:numCache>
                <c:formatCode>#,##0</c:formatCode>
                <c:ptCount val="3"/>
                <c:pt idx="0">
                  <c:v>60925000</c:v>
                </c:pt>
                <c:pt idx="1">
                  <c:v>122000000</c:v>
                </c:pt>
                <c:pt idx="2">
                  <c:v>10450000</c:v>
                </c:pt>
              </c:numCache>
            </c:numRef>
          </c:val>
          <c:extLst>
            <c:ext xmlns:c16="http://schemas.microsoft.com/office/drawing/2014/chart" uri="{C3380CC4-5D6E-409C-BE32-E72D297353CC}">
              <c16:uniqueId val="{00000001-3C21-491F-A409-593FBEE5CD4E}"/>
            </c:ext>
          </c:extLst>
        </c:ser>
        <c:dLbls>
          <c:showLegendKey val="0"/>
          <c:showVal val="0"/>
          <c:showCatName val="0"/>
          <c:showSerName val="0"/>
          <c:showPercent val="0"/>
          <c:showBubbleSize val="0"/>
        </c:dLbls>
        <c:gapWidth val="219"/>
        <c:overlap val="-27"/>
        <c:axId val="928107679"/>
        <c:axId val="916449311"/>
      </c:barChart>
      <c:catAx>
        <c:axId val="92810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49311"/>
        <c:crosses val="autoZero"/>
        <c:auto val="1"/>
        <c:lblAlgn val="ctr"/>
        <c:lblOffset val="100"/>
        <c:noMultiLvlLbl val="0"/>
      </c:catAx>
      <c:valAx>
        <c:axId val="916449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0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[EM_DAT Portfolio Project.xlsx]2-Cost per Beneficiary!PivotTable2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Cost per Beneficiary (by Program)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'2-Cost per Beneficiary'!$B$3</c:f>
              <c:strCache>
                <c:ptCount val="1"/>
                <c:pt idx="0">
                  <c:v>Total</c:v>
                </c:pt>
              </c:strCache>
            </c:strRef>
          </c:tx>
          <c:spPr>
            <a:solidFill>
              <a:schemeClr val="accent1"/>
            </a:solidFill>
            <a:ln>
              <a:noFill/>
            </a:ln>
            <a:effectLst/>
          </c:spPr>
          <c:invertIfNegative val="0"/>
          <c:cat>
            <c:strRef>
              <c:f>'2-Cost per Beneficiary'!$A$4:$A$7</c:f>
              <c:strCache>
                <c:ptCount val="3"/>
                <c:pt idx="0">
                  <c:v>Shelter &amp; Recovery</c:v>
                </c:pt>
                <c:pt idx="1">
                  <c:v>Health &amp; WASH</c:v>
                </c:pt>
                <c:pt idx="2">
                  <c:v>Emergency Relief</c:v>
                </c:pt>
              </c:strCache>
            </c:strRef>
          </c:cat>
          <c:val>
            <c:numRef>
              <c:f>'2-Cost per Beneficiary'!$B$4:$B$7</c:f>
              <c:numCache>
                <c:formatCode>#,##0</c:formatCode>
                <c:ptCount val="3"/>
                <c:pt idx="0">
                  <c:v>130.32898288503458</c:v>
                </c:pt>
                <c:pt idx="1">
                  <c:v>1084.0889858794283</c:v>
                </c:pt>
                <c:pt idx="2">
                  <c:v>4517.7074678144136</c:v>
                </c:pt>
              </c:numCache>
            </c:numRef>
          </c:val>
          <c:extLst>
            <c:ext xmlns:c16="http://schemas.microsoft.com/office/drawing/2014/chart" uri="{C3380CC4-5D6E-409C-BE32-E72D297353CC}">
              <c16:uniqueId val="{00000000-7677-4E10-99FF-34C6882BDE43}"/>
            </c:ext>
          </c:extLst>
        </c:ser>
        <c:dLbls>
          <c:showLegendKey val="0"/>
          <c:showVal val="0"/>
          <c:showCatName val="0"/>
          <c:showSerName val="0"/>
          <c:showPercent val="0"/>
          <c:showBubbleSize val="0"/>
        </c:dLbls>
        <c:gapWidth val="182"/>
        <c:axId val="925445983"/>
        <c:axId val="383121887"/>
      </c:barChart>
      <c:catAx>
        <c:axId val="92544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121887"/>
        <c:crosses val="autoZero"/>
        <c:auto val="1"/>
        <c:lblAlgn val="ctr"/>
        <c:lblOffset val="100"/>
        <c:noMultiLvlLbl val="0"/>
      </c:catAx>
      <c:valAx>
        <c:axId val="3831218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4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[EM_DAT Portfolio Project.xlsx]3-Outcome Rate Distribution!PivotTable3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Outcome Rate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'3-Outcome Rate Distribution'!$B$3</c:f>
              <c:strCache>
                <c:ptCount val="1"/>
                <c:pt idx="0">
                  <c:v>Total</c:v>
                </c:pt>
              </c:strCache>
            </c:strRef>
          </c:tx>
          <c:spPr>
            <a:solidFill>
              <a:schemeClr val="accent1"/>
            </a:solidFill>
            <a:ln>
              <a:noFill/>
            </a:ln>
            <a:effectLst/>
          </c:spPr>
          <c:invertIfNegative val="0"/>
          <c:cat>
            <c:strRef>
              <c:f>'3-Outcome Rate Distribution'!$A$4:$A$7</c:f>
              <c:strCache>
                <c:ptCount val="3"/>
                <c:pt idx="0">
                  <c:v>Emergency Relief</c:v>
                </c:pt>
                <c:pt idx="1">
                  <c:v>Health &amp; WASH</c:v>
                </c:pt>
                <c:pt idx="2">
                  <c:v>Shelter &amp; Recovery</c:v>
                </c:pt>
              </c:strCache>
            </c:strRef>
          </c:cat>
          <c:val>
            <c:numRef>
              <c:f>'3-Outcome Rate Distribution'!$B$4:$B$7</c:f>
              <c:numCache>
                <c:formatCode>0%</c:formatCode>
                <c:ptCount val="3"/>
                <c:pt idx="0">
                  <c:v>0.81057142857142861</c:v>
                </c:pt>
                <c:pt idx="1">
                  <c:v>0.78090909090909089</c:v>
                </c:pt>
                <c:pt idx="2">
                  <c:v>0.73714285714285721</c:v>
                </c:pt>
              </c:numCache>
            </c:numRef>
          </c:val>
          <c:extLst>
            <c:ext xmlns:c16="http://schemas.microsoft.com/office/drawing/2014/chart" uri="{C3380CC4-5D6E-409C-BE32-E72D297353CC}">
              <c16:uniqueId val="{00000000-B886-4721-A0A2-A0EB087A827E}"/>
            </c:ext>
          </c:extLst>
        </c:ser>
        <c:dLbls>
          <c:showLegendKey val="0"/>
          <c:showVal val="0"/>
          <c:showCatName val="0"/>
          <c:showSerName val="0"/>
          <c:showPercent val="0"/>
          <c:showBubbleSize val="0"/>
        </c:dLbls>
        <c:gapWidth val="219"/>
        <c:overlap val="-27"/>
        <c:axId val="928115839"/>
        <c:axId val="1136286015"/>
      </c:barChart>
      <c:catAx>
        <c:axId val="92811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86015"/>
        <c:crosses val="autoZero"/>
        <c:auto val="1"/>
        <c:lblAlgn val="ctr"/>
        <c:lblOffset val="100"/>
        <c:noMultiLvlLbl val="0"/>
      </c:catAx>
      <c:valAx>
        <c:axId val="1136286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115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[EM_DAT Portfolio Project.xlsx]Total Affected vs Beneficiaries!PivotTable4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Affected vs Beneficiaries Served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Affected vs Beneficiaries'!$B$3</c:f>
              <c:strCache>
                <c:ptCount val="1"/>
                <c:pt idx="0">
                  <c:v>Sum of Total_Affected</c:v>
                </c:pt>
              </c:strCache>
            </c:strRef>
          </c:tx>
          <c:spPr>
            <a:solidFill>
              <a:schemeClr val="accent1">
                <a:shade val="76000"/>
              </a:schemeClr>
            </a:solidFill>
            <a:ln>
              <a:noFill/>
            </a:ln>
            <a:effectLst/>
          </c:spPr>
          <c:invertIfNegative val="0"/>
          <c:cat>
            <c:strRef>
              <c:f>'Total Affected vs Beneficiaries'!$A$4:$A$7</c:f>
              <c:strCache>
                <c:ptCount val="3"/>
                <c:pt idx="0">
                  <c:v>Health &amp; WASH</c:v>
                </c:pt>
                <c:pt idx="1">
                  <c:v>Emergency Relief</c:v>
                </c:pt>
                <c:pt idx="2">
                  <c:v>Shelter &amp; Recovery</c:v>
                </c:pt>
              </c:strCache>
            </c:strRef>
          </c:cat>
          <c:val>
            <c:numRef>
              <c:f>'Total Affected vs Beneficiaries'!$B$4:$B$7</c:f>
              <c:numCache>
                <c:formatCode>#,##0</c:formatCode>
                <c:ptCount val="3"/>
                <c:pt idx="0">
                  <c:v>87274217</c:v>
                </c:pt>
                <c:pt idx="1">
                  <c:v>12685394</c:v>
                </c:pt>
                <c:pt idx="2">
                  <c:v>991864</c:v>
                </c:pt>
              </c:numCache>
            </c:numRef>
          </c:val>
          <c:extLst>
            <c:ext xmlns:c16="http://schemas.microsoft.com/office/drawing/2014/chart" uri="{C3380CC4-5D6E-409C-BE32-E72D297353CC}">
              <c16:uniqueId val="{00000000-4E7B-4BD5-87D4-59F84382173E}"/>
            </c:ext>
          </c:extLst>
        </c:ser>
        <c:dLbls>
          <c:showLegendKey val="0"/>
          <c:showVal val="0"/>
          <c:showCatName val="0"/>
          <c:showSerName val="0"/>
          <c:showPercent val="0"/>
          <c:showBubbleSize val="0"/>
        </c:dLbls>
        <c:gapWidth val="219"/>
        <c:overlap val="-27"/>
        <c:axId val="1146900863"/>
        <c:axId val="1141888335"/>
      </c:barChart>
      <c:lineChart>
        <c:grouping val="standard"/>
        <c:varyColors val="0"/>
        <c:ser>
          <c:idx val="1"/>
          <c:order val="1"/>
          <c:tx>
            <c:strRef>
              <c:f>'Total Affected vs Beneficiaries'!$C$3</c:f>
              <c:strCache>
                <c:ptCount val="1"/>
                <c:pt idx="0">
                  <c:v>Sum of Beneficiaries_Served</c:v>
                </c:pt>
              </c:strCache>
            </c:strRef>
          </c:tx>
          <c:spPr>
            <a:ln w="28575" cap="rnd">
              <a:solidFill>
                <a:schemeClr val="accent1">
                  <a:tint val="77000"/>
                </a:schemeClr>
              </a:solidFill>
              <a:round/>
            </a:ln>
            <a:effectLst/>
          </c:spPr>
          <c:marker>
            <c:symbol val="none"/>
          </c:marker>
          <c:cat>
            <c:strRef>
              <c:f>'Total Affected vs Beneficiaries'!$A$4:$A$7</c:f>
              <c:strCache>
                <c:ptCount val="3"/>
                <c:pt idx="0">
                  <c:v>Health &amp; WASH</c:v>
                </c:pt>
                <c:pt idx="1">
                  <c:v>Emergency Relief</c:v>
                </c:pt>
                <c:pt idx="2">
                  <c:v>Shelter &amp; Recovery</c:v>
                </c:pt>
              </c:strCache>
            </c:strRef>
          </c:cat>
          <c:val>
            <c:numRef>
              <c:f>'Total Affected vs Beneficiaries'!$C$4:$C$7</c:f>
              <c:numCache>
                <c:formatCode>#,##0</c:formatCode>
                <c:ptCount val="3"/>
                <c:pt idx="0">
                  <c:v>21531553.400000002</c:v>
                </c:pt>
                <c:pt idx="1">
                  <c:v>4813613.75</c:v>
                </c:pt>
                <c:pt idx="2">
                  <c:v>210817.09999999998</c:v>
                </c:pt>
              </c:numCache>
            </c:numRef>
          </c:val>
          <c:smooth val="0"/>
          <c:extLst>
            <c:ext xmlns:c16="http://schemas.microsoft.com/office/drawing/2014/chart" uri="{C3380CC4-5D6E-409C-BE32-E72D297353CC}">
              <c16:uniqueId val="{00000001-4E7B-4BD5-87D4-59F84382173E}"/>
            </c:ext>
          </c:extLst>
        </c:ser>
        <c:dLbls>
          <c:showLegendKey val="0"/>
          <c:showVal val="0"/>
          <c:showCatName val="0"/>
          <c:showSerName val="0"/>
          <c:showPercent val="0"/>
          <c:showBubbleSize val="0"/>
        </c:dLbls>
        <c:marker val="1"/>
        <c:smooth val="0"/>
        <c:axId val="1146904223"/>
        <c:axId val="1141892799"/>
      </c:lineChart>
      <c:catAx>
        <c:axId val="11469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888335"/>
        <c:crosses val="autoZero"/>
        <c:auto val="1"/>
        <c:lblAlgn val="ctr"/>
        <c:lblOffset val="100"/>
        <c:noMultiLvlLbl val="0"/>
      </c:catAx>
      <c:valAx>
        <c:axId val="1141888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00863"/>
        <c:crosses val="autoZero"/>
        <c:crossBetween val="between"/>
      </c:valAx>
      <c:valAx>
        <c:axId val="114189279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04223"/>
        <c:crosses val="max"/>
        <c:crossBetween val="between"/>
      </c:valAx>
      <c:catAx>
        <c:axId val="1146904223"/>
        <c:scaling>
          <c:orientation val="minMax"/>
        </c:scaling>
        <c:delete val="1"/>
        <c:axPos val="b"/>
        <c:numFmt formatCode="General" sourceLinked="1"/>
        <c:majorTickMark val="out"/>
        <c:minorTickMark val="none"/>
        <c:tickLblPos val="nextTo"/>
        <c:crossAx val="11418927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104776</xdr:colOff>
      <xdr:row>1</xdr:row>
      <xdr:rowOff>38100</xdr:rowOff>
    </xdr:from>
    <xdr:to>
      <xdr:col>8</xdr:col>
      <xdr:colOff>381000</xdr:colOff>
      <xdr:row>17</xdr:row>
      <xdr:rowOff>171450</xdr:rowOff>
    </xdr:to>
    <xdr:graphicFrame macro="">
      <xdr:nvGraphicFramePr>
        <xdr:cNvPr id="2" name="Chart 1">
          <a:extLst>
            <a:ext uri="{FF2B5EF4-FFF2-40B4-BE49-F238E27FC236}">
              <a16:creationId xmlns:a16="http://schemas.microsoft.com/office/drawing/2014/main" id="{E2137D72-5FEB-45D6-AA7F-1761288AD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1</xdr:row>
      <xdr:rowOff>28575</xdr:rowOff>
    </xdr:from>
    <xdr:to>
      <xdr:col>17</xdr:col>
      <xdr:colOff>314325</xdr:colOff>
      <xdr:row>17</xdr:row>
      <xdr:rowOff>161925</xdr:rowOff>
    </xdr:to>
    <xdr:graphicFrame macro="">
      <xdr:nvGraphicFramePr>
        <xdr:cNvPr id="3" name="Chart 2">
          <a:extLst>
            <a:ext uri="{FF2B5EF4-FFF2-40B4-BE49-F238E27FC236}">
              <a16:creationId xmlns:a16="http://schemas.microsoft.com/office/drawing/2014/main" id="{B1BA7E55-4973-4331-8DC8-6CEBD482E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18</xdr:row>
      <xdr:rowOff>85725</xdr:rowOff>
    </xdr:from>
    <xdr:to>
      <xdr:col>8</xdr:col>
      <xdr:colOff>390525</xdr:colOff>
      <xdr:row>37</xdr:row>
      <xdr:rowOff>171450</xdr:rowOff>
    </xdr:to>
    <xdr:graphicFrame macro="">
      <xdr:nvGraphicFramePr>
        <xdr:cNvPr id="4" name="Chart 3">
          <a:extLst>
            <a:ext uri="{FF2B5EF4-FFF2-40B4-BE49-F238E27FC236}">
              <a16:creationId xmlns:a16="http://schemas.microsoft.com/office/drawing/2014/main" id="{D99993D2-6F7B-4ED9-99D3-D3721DDA5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xdr:colOff>
      <xdr:row>18</xdr:row>
      <xdr:rowOff>85725</xdr:rowOff>
    </xdr:from>
    <xdr:to>
      <xdr:col>19</xdr:col>
      <xdr:colOff>304801</xdr:colOff>
      <xdr:row>37</xdr:row>
      <xdr:rowOff>171450</xdr:rowOff>
    </xdr:to>
    <xdr:graphicFrame macro="">
      <xdr:nvGraphicFramePr>
        <xdr:cNvPr id="5" name="Chart 4">
          <a:extLst>
            <a:ext uri="{FF2B5EF4-FFF2-40B4-BE49-F238E27FC236}">
              <a16:creationId xmlns:a16="http://schemas.microsoft.com/office/drawing/2014/main" id="{AD969B03-3678-4B8B-A488-78CF3068C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419100</xdr:colOff>
      <xdr:row>1</xdr:row>
      <xdr:rowOff>47626</xdr:rowOff>
    </xdr:from>
    <xdr:to>
      <xdr:col>20</xdr:col>
      <xdr:colOff>419100</xdr:colOff>
      <xdr:row>7</xdr:row>
      <xdr:rowOff>66676</xdr:rowOff>
    </xdr:to>
    <mc:AlternateContent xmlns:mc="http://schemas.openxmlformats.org/markup-compatibility/2006" xmlns:a14="http://schemas.microsoft.com/office/drawing/2010/main">
      <mc:Choice Requires="a14">
        <xdr:graphicFrame macro="">
          <xdr:nvGraphicFramePr>
            <xdr:cNvPr id="6" name="Program_Name">
              <a:extLst>
                <a:ext uri="{FF2B5EF4-FFF2-40B4-BE49-F238E27FC236}">
                  <a16:creationId xmlns:a16="http://schemas.microsoft.com/office/drawing/2014/main" id="{6A083483-5B62-CD97-9D4D-802F6A072A60}"/>
                </a:ext>
              </a:extLst>
            </xdr:cNvPr>
            <xdr:cNvGraphicFramePr/>
          </xdr:nvGraphicFramePr>
          <xdr:xfrm>
            <a:off x="0" y="0"/>
            <a:ext cx="0" cy="0"/>
          </xdr:xfrm>
          <a:graphic>
            <a:graphicData uri="http://schemas.microsoft.com/office/drawing/2010/slicer">
              <sle:slicer xmlns:sle="http://schemas.microsoft.com/office/drawing/2010/slicer" name="Program_Name"/>
            </a:graphicData>
          </a:graphic>
        </xdr:graphicFrame>
      </mc:Choice>
      <mc:Fallback xmlns="">
        <xdr:sp macro="" textlink="">
          <xdr:nvSpPr>
            <xdr:cNvPr id="0" name=""/>
            <xdr:cNvSpPr>
              <a:spLocks noTextEdit="1"/>
            </xdr:cNvSpPr>
          </xdr:nvSpPr>
          <xdr:spPr>
            <a:xfrm>
              <a:off x="10782300" y="238126"/>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95249</xdr:colOff>
      <xdr:row>2</xdr:row>
      <xdr:rowOff>42861</xdr:rowOff>
    </xdr:from>
    <xdr:to>
      <xdr:col>12</xdr:col>
      <xdr:colOff>47624</xdr:colOff>
      <xdr:row>31</xdr:row>
      <xdr:rowOff>104774</xdr:rowOff>
    </xdr:to>
    <xdr:graphicFrame macro="">
      <xdr:nvGraphicFramePr>
        <xdr:cNvPr id="2" name="Chart 1">
          <a:extLst>
            <a:ext uri="{FF2B5EF4-FFF2-40B4-BE49-F238E27FC236}">
              <a16:creationId xmlns:a16="http://schemas.microsoft.com/office/drawing/2014/main" id="{7D362F8F-B041-F9ED-37ED-44CF62E82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152399</xdr:colOff>
      <xdr:row>2</xdr:row>
      <xdr:rowOff>14287</xdr:rowOff>
    </xdr:from>
    <xdr:to>
      <xdr:col>13</xdr:col>
      <xdr:colOff>485774</xdr:colOff>
      <xdr:row>33</xdr:row>
      <xdr:rowOff>104775</xdr:rowOff>
    </xdr:to>
    <xdr:graphicFrame macro="">
      <xdr:nvGraphicFramePr>
        <xdr:cNvPr id="3" name="Chart 2">
          <a:extLst>
            <a:ext uri="{FF2B5EF4-FFF2-40B4-BE49-F238E27FC236}">
              <a16:creationId xmlns:a16="http://schemas.microsoft.com/office/drawing/2014/main" id="{0C71A1E7-EEE2-2440-B4E6-EF407EA14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95250</xdr:colOff>
      <xdr:row>2</xdr:row>
      <xdr:rowOff>61911</xdr:rowOff>
    </xdr:from>
    <xdr:to>
      <xdr:col>10</xdr:col>
      <xdr:colOff>161925</xdr:colOff>
      <xdr:row>31</xdr:row>
      <xdr:rowOff>85724</xdr:rowOff>
    </xdr:to>
    <xdr:graphicFrame macro="">
      <xdr:nvGraphicFramePr>
        <xdr:cNvPr id="4" name="Chart 3">
          <a:extLst>
            <a:ext uri="{FF2B5EF4-FFF2-40B4-BE49-F238E27FC236}">
              <a16:creationId xmlns:a16="http://schemas.microsoft.com/office/drawing/2014/main" id="{B58963E7-1294-A7D8-EA8F-4EA505DC1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85724</xdr:colOff>
      <xdr:row>2</xdr:row>
      <xdr:rowOff>42862</xdr:rowOff>
    </xdr:from>
    <xdr:to>
      <xdr:col>14</xdr:col>
      <xdr:colOff>304799</xdr:colOff>
      <xdr:row>32</xdr:row>
      <xdr:rowOff>95250</xdr:rowOff>
    </xdr:to>
    <xdr:graphicFrame macro="">
      <xdr:nvGraphicFramePr>
        <xdr:cNvPr id="2" name="Chart 1">
          <a:extLst>
            <a:ext uri="{FF2B5EF4-FFF2-40B4-BE49-F238E27FC236}">
              <a16:creationId xmlns:a16="http://schemas.microsoft.com/office/drawing/2014/main" id="{485109C1-6BCF-A531-0347-6F4870A40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07.997939699075" createdVersion="8" refreshedVersion="8" minRefreshableVersion="3" recordCount="97" xr:uid="{2CDC7A60-0326-48C1-B3E6-82ECEEA37105}">
  <cacheSource type="worksheet">
    <worksheetSource name="tbl_EMDAT"/>
  </cacheSource>
  <cacheFields count="21">
    <cacheField name="DisNo." numFmtId="0">
      <sharedItems/>
    </cacheField>
    <cacheField name="Year" numFmtId="0">
      <sharedItems containsSemiMixedTypes="0" containsString="0" containsNumber="1" containsInteger="1" minValue="2019" maxValue="2025" count="7">
        <n v="2021"/>
        <n v="2019"/>
        <n v="2024"/>
        <n v="2022"/>
        <n v="2020"/>
        <n v="2025"/>
        <n v="2023"/>
      </sharedItems>
    </cacheField>
    <cacheField name="Country" numFmtId="0">
      <sharedItems/>
    </cacheField>
    <cacheField name="Disaster_Group" numFmtId="0">
      <sharedItems/>
    </cacheField>
    <cacheField name="Disaster_Subgroup" numFmtId="0">
      <sharedItems/>
    </cacheField>
    <cacheField name="Disaster_Type" numFmtId="0">
      <sharedItems/>
    </cacheField>
    <cacheField name="Disaster_Subtype" numFmtId="0">
      <sharedItems/>
    </cacheField>
    <cacheField name="Region" numFmtId="0">
      <sharedItems/>
    </cacheField>
    <cacheField name="Deaths" numFmtId="0">
      <sharedItems containsString="0" containsBlank="1" containsNumber="1" containsInteger="1" minValue="1" maxValue="457"/>
    </cacheField>
    <cacheField name="Injured" numFmtId="0">
      <sharedItems containsString="0" containsBlank="1" containsNumber="1" containsInteger="1" minValue="1" maxValue="1371"/>
    </cacheField>
    <cacheField name="Affected" numFmtId="0">
      <sharedItems containsString="0" containsBlank="1" containsNumber="1" containsInteger="1" minValue="175" maxValue="10607625"/>
    </cacheField>
    <cacheField name="Homeless" numFmtId="0">
      <sharedItems containsString="0" containsBlank="1" containsNumber="1" containsInteger="1" minValue="705" maxValue="342165"/>
    </cacheField>
    <cacheField name="Total_Affected" numFmtId="0">
      <sharedItems containsSemiMixedTypes="0" containsString="0" containsNumber="1" containsInteger="1" minValue="11" maxValue="10608996"/>
    </cacheField>
    <cacheField name="Total_Damage_USD" numFmtId="0">
      <sharedItems containsString="0" containsBlank="1" containsNumber="1" containsInteger="1" minValue="43" maxValue="1059566"/>
    </cacheField>
    <cacheField name="Program_Name" numFmtId="0">
      <sharedItems count="3">
        <s v="Health &amp; WASH"/>
        <s v="Emergency Relief"/>
        <s v="Shelter &amp; Recovery"/>
      </sharedItems>
    </cacheField>
    <cacheField name="Budget_Allocated_USD" numFmtId="0">
      <sharedItems containsSemiMixedTypes="0" containsString="0" containsNumber="1" containsInteger="1" minValue="500000" maxValue="3000000"/>
    </cacheField>
    <cacheField name="Actual_Spending_USD" numFmtId="0">
      <sharedItems containsSemiMixedTypes="0" containsString="0" containsNumber="1" containsInteger="1" minValue="450000" maxValue="3300000"/>
    </cacheField>
    <cacheField name="Beneficiaries_Served" numFmtId="1">
      <sharedItems containsSemiMixedTypes="0" containsString="0" containsNumber="1" minValue="3.3" maxValue="2298015.2999999998"/>
    </cacheField>
    <cacheField name="Outcome_Rate" numFmtId="9">
      <sharedItems containsSemiMixedTypes="0" containsString="0" containsNumber="1" minValue="0.65" maxValue="0.9"/>
    </cacheField>
    <cacheField name="Cost_per_Beneficiary" numFmtId="164">
      <sharedItems containsSemiMixedTypes="0" containsString="0" containsNumber="1" minValue="1.1749269032281902" maxValue="136363.63636363638"/>
    </cacheField>
    <cacheField name="Budget_Variance_USD" numFmtId="0">
      <sharedItems containsSemiMixedTypes="0" containsString="0" containsNumber="1" containsInteger="1" minValue="-300000" maxValue="300000"/>
    </cacheField>
  </cacheFields>
  <extLst>
    <ext xmlns:x14="http://schemas.microsoft.com/office/spreadsheetml/2009/9/main" uri="{725AE2AE-9491-48be-B2B4-4EB974FC3084}">
      <x14:pivotCacheDefinition pivotCacheId="121485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s v="2021-0813-PHL"/>
    <x v="0"/>
    <s v="Philippines"/>
    <s v="Natural"/>
    <s v="Meteorological"/>
    <s v="Storm"/>
    <s v="Tropical cyclone"/>
    <s v="Asia"/>
    <n v="457"/>
    <n v="1371"/>
    <n v="10607625"/>
    <m/>
    <n v="10608996"/>
    <n v="1059566"/>
    <x v="0"/>
    <n v="3000000"/>
    <n v="3300000"/>
    <n v="2121799.2000000002"/>
    <n v="0.81"/>
    <n v="1.5552838364723673"/>
    <n v="-300000"/>
  </r>
  <r>
    <s v="2019-0634-PHL"/>
    <x v="1"/>
    <s v="Philippines"/>
    <s v="Natural"/>
    <s v="Meteorological"/>
    <s v="Storm"/>
    <s v="Tropical cyclone"/>
    <s v="Asia"/>
    <n v="63"/>
    <n v="369"/>
    <n v="3296877"/>
    <m/>
    <n v="3297246"/>
    <n v="19291"/>
    <x v="0"/>
    <n v="3000000"/>
    <n v="3300000"/>
    <n v="989173.8"/>
    <n v="0.8"/>
    <n v="3.3361174750079305"/>
    <n v="-300000"/>
  </r>
  <r>
    <s v="2024-0057-PHL"/>
    <x v="2"/>
    <s v="Philippines"/>
    <s v="Natural"/>
    <s v="Hydrological"/>
    <s v="Mass movement (wet)"/>
    <s v="Landslide (wet)"/>
    <s v="Asia"/>
    <n v="128"/>
    <n v="32"/>
    <n v="1400000"/>
    <m/>
    <n v="1400032"/>
    <n v="50000"/>
    <x v="1"/>
    <n v="3000000"/>
    <n v="3300000"/>
    <n v="420009.6"/>
    <n v="0.78"/>
    <n v="7.8569632694109854"/>
    <n v="-300000"/>
  </r>
  <r>
    <s v="2021-0670-PHL"/>
    <x v="0"/>
    <s v="Philippines"/>
    <s v="Natural"/>
    <s v="Meteorological"/>
    <s v="Storm"/>
    <s v="Tropical cyclone"/>
    <s v="Asia"/>
    <n v="59"/>
    <n v="5"/>
    <n v="1140534"/>
    <m/>
    <n v="1140539"/>
    <n v="87530"/>
    <x v="0"/>
    <n v="3000000"/>
    <n v="3300000"/>
    <n v="342161.7"/>
    <n v="0.82"/>
    <n v="9.6445627900492656"/>
    <n v="-300000"/>
  </r>
  <r>
    <s v="2022-0613-PHL"/>
    <x v="3"/>
    <s v="Philippines"/>
    <s v="Natural"/>
    <s v="Meteorological"/>
    <s v="Storm"/>
    <s v="Storm surge"/>
    <s v="Asia"/>
    <n v="17"/>
    <n v="52"/>
    <n v="913893"/>
    <m/>
    <n v="913945"/>
    <n v="61039"/>
    <x v="0"/>
    <n v="3000000"/>
    <n v="3300000"/>
    <n v="228486.25"/>
    <n v="0.8"/>
    <n v="14.442882230331147"/>
    <n v="-300000"/>
  </r>
  <r>
    <s v="2020-0203-PHL"/>
    <x v="4"/>
    <s v="Philippines"/>
    <s v="Natural"/>
    <s v="Meteorological"/>
    <s v="Storm"/>
    <s v="Tropical cyclone"/>
    <s v="Asia"/>
    <n v="5"/>
    <n v="169"/>
    <n v="578571"/>
    <m/>
    <n v="578740"/>
    <n v="37694"/>
    <x v="0"/>
    <n v="3000000"/>
    <n v="3300000"/>
    <n v="202559"/>
    <n v="0.7"/>
    <n v="16.291549622579101"/>
    <n v="-300000"/>
  </r>
  <r>
    <s v="2020-0470-PHL"/>
    <x v="4"/>
    <s v="Philippines"/>
    <s v="Natural"/>
    <s v="Meteorological"/>
    <s v="Storm"/>
    <s v="Tropical cyclone"/>
    <s v="Asia"/>
    <n v="31"/>
    <n v="40"/>
    <n v="888375"/>
    <m/>
    <n v="888415"/>
    <n v="105568"/>
    <x v="0"/>
    <n v="3000000"/>
    <n v="3300000"/>
    <n v="177683"/>
    <n v="0.73"/>
    <n v="18.572401411502508"/>
    <n v="-300000"/>
  </r>
  <r>
    <s v="2020-0008-PHL"/>
    <x v="4"/>
    <s v="Philippines"/>
    <s v="Natural"/>
    <s v="Geophysical"/>
    <s v="Volcanic activity"/>
    <s v="Ash fall"/>
    <s v="Asia"/>
    <n v="1"/>
    <m/>
    <n v="736802"/>
    <m/>
    <n v="736802"/>
    <n v="79994"/>
    <x v="2"/>
    <n v="3000000"/>
    <n v="3300000"/>
    <n v="147360.4"/>
    <n v="0.8"/>
    <n v="22.394076020423398"/>
    <n v="-300000"/>
  </r>
  <r>
    <s v="2024-0825-PHL"/>
    <x v="2"/>
    <s v="Philippines"/>
    <s v="Natural"/>
    <s v="Meteorological"/>
    <s v="Storm"/>
    <s v="Tropical cyclone"/>
    <s v="Asia"/>
    <n v="1"/>
    <n v="1"/>
    <n v="375000"/>
    <m/>
    <n v="375001"/>
    <n v="10000"/>
    <x v="0"/>
    <n v="3000000"/>
    <n v="3300000"/>
    <n v="131250.35"/>
    <n v="0.71"/>
    <n v="25.142790095416888"/>
    <n v="-300000"/>
  </r>
  <r>
    <s v="2020-0501-PHL"/>
    <x v="4"/>
    <s v="Philippines"/>
    <s v="Natural"/>
    <s v="Meteorological"/>
    <s v="Storm"/>
    <s v="Tropical cyclone"/>
    <s v="Asia"/>
    <n v="111"/>
    <n v="85"/>
    <n v="514824"/>
    <m/>
    <n v="514909"/>
    <n v="510268"/>
    <x v="0"/>
    <n v="3000000"/>
    <n v="3300000"/>
    <n v="128727.25"/>
    <n v="0.75"/>
    <n v="25.635597746397906"/>
    <n v="-300000"/>
  </r>
  <r>
    <s v="2025-0998-PHL"/>
    <x v="5"/>
    <s v="Philippines"/>
    <s v="Natural"/>
    <s v="Meteorological"/>
    <s v="Storm"/>
    <s v="Tropical cyclone"/>
    <s v="Asia"/>
    <n v="2"/>
    <m/>
    <n v="275500"/>
    <m/>
    <n v="275500"/>
    <m/>
    <x v="0"/>
    <n v="3000000"/>
    <n v="3300000"/>
    <n v="68875"/>
    <n v="0.78"/>
    <n v="47.91288566243194"/>
    <n v="-300000"/>
  </r>
  <r>
    <s v="2025-0385-PHL"/>
    <x v="5"/>
    <s v="Philippines"/>
    <s v="Natural"/>
    <s v="Meteorological"/>
    <s v="Storm"/>
    <s v="Severe weather"/>
    <s v="Asia"/>
    <m/>
    <m/>
    <n v="233945"/>
    <m/>
    <n v="233945"/>
    <m/>
    <x v="0"/>
    <n v="3000000"/>
    <n v="3300000"/>
    <n v="58486.25"/>
    <n v="0.84"/>
    <n v="56.423518348329736"/>
    <n v="-300000"/>
  </r>
  <r>
    <s v="2024-0695-PHL"/>
    <x v="2"/>
    <s v="Philippines"/>
    <s v="Natural"/>
    <s v="Meteorological"/>
    <s v="Storm"/>
    <s v="Tropical cyclone"/>
    <s v="Asia"/>
    <n v="38"/>
    <n v="13"/>
    <n v="95000"/>
    <m/>
    <n v="95013"/>
    <m/>
    <x v="0"/>
    <n v="2000000"/>
    <n v="2200000"/>
    <n v="33254.550000000003"/>
    <n v="0.84"/>
    <n v="66.156360558179244"/>
    <n v="-200000"/>
  </r>
  <r>
    <s v="2022-0680-PHL"/>
    <x v="3"/>
    <s v="Philippines"/>
    <s v="Natural"/>
    <s v="Meteorological"/>
    <s v="Storm"/>
    <s v="Tropical cyclone"/>
    <s v="Asia"/>
    <m/>
    <n v="2"/>
    <n v="103600"/>
    <m/>
    <n v="103602"/>
    <m/>
    <x v="0"/>
    <n v="2000000"/>
    <n v="2200000"/>
    <n v="25900.5"/>
    <n v="0.8"/>
    <n v="84.940445165151246"/>
    <n v="-200000"/>
  </r>
  <r>
    <s v="2024-0777-PHL"/>
    <x v="2"/>
    <s v="Philippines"/>
    <s v="Natural"/>
    <s v="Meteorological"/>
    <s v="Storm"/>
    <s v="Tropical cyclone"/>
    <s v="Asia"/>
    <n v="191"/>
    <n v="132"/>
    <n v="9652607"/>
    <m/>
    <n v="9652739"/>
    <n v="373000"/>
    <x v="0"/>
    <n v="3000000"/>
    <n v="3150000"/>
    <n v="1930547.8"/>
    <n v="0.82"/>
    <n v="1.6316612310764851"/>
    <n v="-150000"/>
  </r>
  <r>
    <s v="2023-0464-PHL"/>
    <x v="6"/>
    <s v="Philippines"/>
    <s v="Natural"/>
    <s v="Meteorological"/>
    <s v="Storm"/>
    <s v="Tropical cyclone"/>
    <s v="Asia"/>
    <n v="39"/>
    <n v="171"/>
    <n v="5385066"/>
    <m/>
    <n v="5385237"/>
    <n v="292640"/>
    <x v="0"/>
    <n v="3000000"/>
    <n v="3150000"/>
    <n v="1615571.1"/>
    <n v="0.79"/>
    <n v="1.9497749124133255"/>
    <n v="-150000"/>
  </r>
  <r>
    <s v="2024-0855-PHL"/>
    <x v="2"/>
    <s v="Philippines"/>
    <s v="Natural"/>
    <s v="Meteorological"/>
    <s v="Storm"/>
    <s v="Tropical cyclone"/>
    <s v="Asia"/>
    <n v="15"/>
    <n v="14"/>
    <n v="3967000"/>
    <m/>
    <n v="3967014"/>
    <n v="100000"/>
    <x v="0"/>
    <n v="3000000"/>
    <n v="3150000"/>
    <n v="793402.8"/>
    <n v="0.8"/>
    <n v="3.9702405890173313"/>
    <n v="-150000"/>
  </r>
  <r>
    <s v="2024-0020-PHL"/>
    <x v="2"/>
    <s v="Philippines"/>
    <s v="Natural"/>
    <s v="Hydrological"/>
    <s v="Flood"/>
    <s v="Flood (General)"/>
    <s v="Asia"/>
    <n v="21"/>
    <n v="11"/>
    <n v="1228003"/>
    <m/>
    <n v="1228014"/>
    <n v="30000"/>
    <x v="1"/>
    <n v="3000000"/>
    <n v="3150000"/>
    <n v="491205.6"/>
    <n v="0.82"/>
    <n v="6.4127933394896148"/>
    <n v="-150000"/>
  </r>
  <r>
    <s v="2025-0870-PHL"/>
    <x v="5"/>
    <s v="Philippines"/>
    <s v="Natural"/>
    <s v="Geophysical"/>
    <s v="Earthquake"/>
    <s v="Ground movement"/>
    <s v="Asia"/>
    <n v="10"/>
    <n v="1027"/>
    <n v="845000"/>
    <m/>
    <n v="846027"/>
    <m/>
    <x v="1"/>
    <n v="3000000"/>
    <n v="3150000"/>
    <n v="296109.45"/>
    <n v="0.86"/>
    <n v="10.637958363030966"/>
    <n v="-150000"/>
  </r>
  <r>
    <s v="2022-0832-PHL"/>
    <x v="3"/>
    <s v="Philippines"/>
    <s v="Natural"/>
    <s v="Hydrological"/>
    <s v="Flood"/>
    <s v="Flood (General)"/>
    <s v="Asia"/>
    <n v="70"/>
    <n v="16"/>
    <n v="600000"/>
    <m/>
    <n v="600016"/>
    <n v="11791"/>
    <x v="1"/>
    <n v="3000000"/>
    <n v="3150000"/>
    <n v="240006.39999999999"/>
    <n v="0.79"/>
    <n v="13.124650009333084"/>
    <n v="-150000"/>
  </r>
  <r>
    <s v="2019-0619-PHL"/>
    <x v="1"/>
    <s v="Philippines"/>
    <s v="Natural"/>
    <s v="Geophysical"/>
    <s v="Earthquake"/>
    <s v="Ground movement"/>
    <s v="Asia"/>
    <n v="14"/>
    <n v="210"/>
    <n v="394355"/>
    <m/>
    <n v="394565"/>
    <m/>
    <x v="1"/>
    <n v="3000000"/>
    <n v="3150000"/>
    <n v="138097.75"/>
    <n v="0.88"/>
    <n v="22.809929922826402"/>
    <n v="-150000"/>
  </r>
  <r>
    <s v="2023-0842-PHL"/>
    <x v="6"/>
    <s v="Philippines"/>
    <s v="Natural"/>
    <s v="Meteorological"/>
    <s v="Storm"/>
    <s v="Tropical cyclone"/>
    <s v="Asia"/>
    <n v="1"/>
    <n v="1"/>
    <n v="425866"/>
    <m/>
    <n v="425867"/>
    <n v="43"/>
    <x v="0"/>
    <n v="3000000"/>
    <n v="3150000"/>
    <n v="127760.1"/>
    <n v="0.83"/>
    <n v="24.655584959623543"/>
    <n v="-150000"/>
  </r>
  <r>
    <s v="2024-0829-PHL"/>
    <x v="2"/>
    <s v="Philippines"/>
    <s v="Natural"/>
    <s v="Meteorological"/>
    <s v="Storm"/>
    <s v="Tropical cyclone"/>
    <s v="Asia"/>
    <m/>
    <n v="2"/>
    <n v="310000"/>
    <m/>
    <n v="310002"/>
    <n v="10000"/>
    <x v="0"/>
    <n v="3000000"/>
    <n v="3150000"/>
    <n v="77500.5"/>
    <n v="0.8"/>
    <n v="40.644899065167323"/>
    <n v="-150000"/>
  </r>
  <r>
    <s v="2025-0879-PHL"/>
    <x v="5"/>
    <s v="Philippines"/>
    <s v="Natural"/>
    <s v="Meteorological"/>
    <s v="Storm"/>
    <s v="Tropical cyclone"/>
    <s v="Asia"/>
    <n v="1"/>
    <m/>
    <n v="314000"/>
    <m/>
    <n v="314000"/>
    <m/>
    <x v="0"/>
    <n v="3000000"/>
    <n v="3150000"/>
    <n v="62800"/>
    <n v="0.75"/>
    <n v="50.159235668789812"/>
    <n v="-150000"/>
  </r>
  <r>
    <s v="2023-0246-PHL"/>
    <x v="6"/>
    <s v="Philippines"/>
    <s v="Natural"/>
    <s v="Meteorological"/>
    <s v="Storm"/>
    <s v="Tropical cyclone"/>
    <s v="Asia"/>
    <m/>
    <m/>
    <n v="136149"/>
    <m/>
    <n v="136149"/>
    <n v="229"/>
    <x v="0"/>
    <n v="2000000"/>
    <n v="2100000"/>
    <n v="47652.15"/>
    <n v="0.79"/>
    <n v="44.06936518079457"/>
    <n v="-100000"/>
  </r>
  <r>
    <s v="2025-0088-PHL"/>
    <x v="5"/>
    <s v="Philippines"/>
    <s v="Natural"/>
    <s v="Hydrological"/>
    <s v="Flood"/>
    <s v="Flood (General)"/>
    <s v="Asia"/>
    <n v="7"/>
    <m/>
    <n v="123000"/>
    <m/>
    <n v="123000"/>
    <m/>
    <x v="1"/>
    <n v="2000000"/>
    <n v="2100000"/>
    <n v="43050"/>
    <n v="0.85"/>
    <n v="48.780487804878049"/>
    <n v="-100000"/>
  </r>
  <r>
    <s v="2025-0314-PHL"/>
    <x v="5"/>
    <s v="Philippines"/>
    <s v="Natural"/>
    <s v="Geophysical"/>
    <s v="Volcanic activity"/>
    <s v="Ash fall"/>
    <s v="Asia"/>
    <m/>
    <m/>
    <n v="110000"/>
    <m/>
    <n v="110000"/>
    <m/>
    <x v="2"/>
    <n v="2000000"/>
    <n v="2100000"/>
    <n v="27500"/>
    <n v="0.8"/>
    <n v="76.36363636363636"/>
    <n v="-100000"/>
  </r>
  <r>
    <s v="2019-0264-PHL"/>
    <x v="1"/>
    <s v="Philippines"/>
    <s v="Natural"/>
    <s v="Hydrological"/>
    <s v="Flood"/>
    <s v="Flood (General)"/>
    <s v="Asia"/>
    <m/>
    <m/>
    <n v="45000"/>
    <m/>
    <n v="45000"/>
    <m/>
    <x v="1"/>
    <n v="1000000"/>
    <n v="1100000"/>
    <n v="13500"/>
    <n v="0.8"/>
    <n v="81.481481481481481"/>
    <n v="-100000"/>
  </r>
  <r>
    <s v="2020-0558-PHL"/>
    <x v="4"/>
    <s v="Philippines"/>
    <s v="Natural"/>
    <s v="Meteorological"/>
    <s v="Storm"/>
    <s v="Tropical cyclone"/>
    <s v="Asia"/>
    <n v="9"/>
    <n v="2"/>
    <n v="36030"/>
    <m/>
    <n v="36032"/>
    <n v="2779"/>
    <x v="0"/>
    <n v="1000000"/>
    <n v="1100000"/>
    <n v="12611.2"/>
    <n v="0.76"/>
    <n v="87.224054808424256"/>
    <n v="-100000"/>
  </r>
  <r>
    <s v="2023-0094-PHL"/>
    <x v="6"/>
    <s v="Philippines"/>
    <s v="Natural"/>
    <s v="Hydrological"/>
    <s v="Flood"/>
    <s v="Flood (General)"/>
    <s v="Asia"/>
    <n v="15"/>
    <m/>
    <n v="32764"/>
    <m/>
    <n v="32764"/>
    <n v="5147"/>
    <x v="1"/>
    <n v="1000000"/>
    <n v="1100000"/>
    <n v="9829.2000000000007"/>
    <n v="0.8"/>
    <n v="111.91144752370487"/>
    <n v="-100000"/>
  </r>
  <r>
    <s v="2021-0079-PHL"/>
    <x v="0"/>
    <s v="Philippines"/>
    <s v="Natural"/>
    <s v="Meteorological"/>
    <s v="Storm"/>
    <s v="Severe weather"/>
    <s v="Asia"/>
    <n v="6"/>
    <m/>
    <n v="37830"/>
    <m/>
    <n v="37830"/>
    <m/>
    <x v="0"/>
    <n v="1000000"/>
    <n v="1100000"/>
    <n v="9457.5"/>
    <n v="0.83"/>
    <n v="116.30980703145651"/>
    <n v="-100000"/>
  </r>
  <r>
    <s v="2021-0022-PHL"/>
    <x v="0"/>
    <s v="Philippines"/>
    <s v="Natural"/>
    <s v="Hydrological"/>
    <s v="Flood"/>
    <s v="Flash flood"/>
    <s v="Asia"/>
    <n v="2"/>
    <m/>
    <n v="38160"/>
    <m/>
    <n v="38160"/>
    <n v="28941"/>
    <x v="1"/>
    <n v="1000000"/>
    <n v="1050000"/>
    <n v="11448"/>
    <n v="0.75"/>
    <n v="91.719077568134168"/>
    <n v="-50000"/>
  </r>
  <r>
    <s v="2019-0522-PHL"/>
    <x v="1"/>
    <s v="Philippines"/>
    <s v="Natural"/>
    <s v="Geophysical"/>
    <s v="Earthquake"/>
    <s v="Ground movement"/>
    <s v="Asia"/>
    <n v="10"/>
    <n v="395"/>
    <n v="25630"/>
    <m/>
    <n v="26025"/>
    <m/>
    <x v="1"/>
    <n v="1000000"/>
    <n v="1050000"/>
    <n v="7807.5"/>
    <n v="0.85"/>
    <n v="134.48607108549473"/>
    <n v="-50000"/>
  </r>
  <r>
    <s v="2023-0355-PHL"/>
    <x v="6"/>
    <s v="Philippines"/>
    <s v="Natural"/>
    <s v="Geophysical"/>
    <s v="Volcanic activity"/>
    <s v="Lava flow"/>
    <s v="Asia"/>
    <m/>
    <n v="628"/>
    <n v="38396"/>
    <m/>
    <n v="39024"/>
    <m/>
    <x v="2"/>
    <n v="1000000"/>
    <n v="1050000"/>
    <n v="7804.8"/>
    <n v="0.65"/>
    <n v="134.53259532595325"/>
    <n v="-50000"/>
  </r>
  <r>
    <s v="2024-0323-PHL"/>
    <x v="2"/>
    <s v="Philippines"/>
    <s v="Natural"/>
    <s v="Geophysical"/>
    <s v="Volcanic activity"/>
    <s v="Lahar"/>
    <s v="Asia"/>
    <m/>
    <m/>
    <n v="29137"/>
    <m/>
    <n v="29137"/>
    <m/>
    <x v="2"/>
    <n v="1000000"/>
    <n v="1050000"/>
    <n v="7284.25"/>
    <n v="0.79"/>
    <n v="144.14661770257749"/>
    <n v="-50000"/>
  </r>
  <r>
    <s v="2021-0376-PHL"/>
    <x v="0"/>
    <s v="Philippines"/>
    <s v="Natural"/>
    <s v="Geophysical"/>
    <s v="Volcanic activity"/>
    <s v="Volcanic activity (General)"/>
    <s v="Asia"/>
    <m/>
    <m/>
    <n v="22433"/>
    <m/>
    <n v="22433"/>
    <m/>
    <x v="2"/>
    <n v="1000000"/>
    <n v="1050000"/>
    <n v="6729.9"/>
    <n v="0.75"/>
    <n v="156.02014888779922"/>
    <n v="-50000"/>
  </r>
  <r>
    <s v="2021-0236-PHL"/>
    <x v="0"/>
    <s v="Philippines"/>
    <s v="Natural"/>
    <s v="Meteorological"/>
    <s v="Storm"/>
    <s v="Tropical cyclone"/>
    <s v="Asia"/>
    <n v="9"/>
    <m/>
    <n v="15000"/>
    <m/>
    <n v="15000"/>
    <n v="23153"/>
    <x v="0"/>
    <n v="1000000"/>
    <n v="1050000"/>
    <n v="5250"/>
    <n v="0.82"/>
    <n v="200"/>
    <n v="-50000"/>
  </r>
  <r>
    <s v="2025-0440-PHL"/>
    <x v="5"/>
    <s v="Philippines"/>
    <s v="Natural"/>
    <s v="Meteorological"/>
    <s v="Storm"/>
    <s v="Tropical cyclone"/>
    <s v="Asia"/>
    <n v="3"/>
    <n v="1"/>
    <n v="17516"/>
    <m/>
    <n v="17517"/>
    <m/>
    <x v="0"/>
    <n v="1000000"/>
    <n v="1050000"/>
    <n v="4379.25"/>
    <n v="0.76"/>
    <n v="239.76708340469258"/>
    <n v="-50000"/>
  </r>
  <r>
    <s v="2022-0685-PHL"/>
    <x v="3"/>
    <s v="Philippines"/>
    <s v="Natural"/>
    <s v="Hydrological"/>
    <s v="Mass movement (wet)"/>
    <s v="Landslide (wet)"/>
    <s v="Asia"/>
    <n v="5"/>
    <m/>
    <n v="11712"/>
    <m/>
    <n v="11712"/>
    <m/>
    <x v="1"/>
    <n v="1000000"/>
    <n v="1050000"/>
    <n v="3513.6"/>
    <n v="0.8"/>
    <n v="298.83879781420768"/>
    <n v="-50000"/>
  </r>
  <r>
    <s v="2022-0547-PHL"/>
    <x v="3"/>
    <s v="Philippines"/>
    <s v="Natural"/>
    <s v="Meteorological"/>
    <s v="Storm"/>
    <s v="Tropical cyclone"/>
    <s v="Asia"/>
    <m/>
    <m/>
    <n v="7616"/>
    <m/>
    <n v="7616"/>
    <m/>
    <x v="0"/>
    <n v="500000"/>
    <n v="525000"/>
    <n v="1904"/>
    <n v="0.76"/>
    <n v="275.73529411764707"/>
    <n v="-25000"/>
  </r>
  <r>
    <s v="2020-0370-PHL"/>
    <x v="4"/>
    <s v="Philippines"/>
    <s v="Natural"/>
    <s v="Geophysical"/>
    <s v="Earthquake"/>
    <s v="Ground movement"/>
    <s v="Asia"/>
    <n v="1"/>
    <n v="20"/>
    <n v="4255"/>
    <n v="705"/>
    <n v="4980"/>
    <n v="3030"/>
    <x v="1"/>
    <n v="500000"/>
    <n v="525000"/>
    <n v="1494"/>
    <n v="0.78"/>
    <n v="351.40562248995985"/>
    <n v="-25000"/>
  </r>
  <r>
    <s v="2021-0226-PHL"/>
    <x v="0"/>
    <s v="Philippines"/>
    <s v="Natural"/>
    <s v="Hydrological"/>
    <s v="Flood"/>
    <s v="Flood (General)"/>
    <s v="Asia"/>
    <m/>
    <m/>
    <n v="3280"/>
    <m/>
    <n v="3280"/>
    <m/>
    <x v="1"/>
    <n v="500000"/>
    <n v="525000"/>
    <n v="984"/>
    <n v="0.8"/>
    <n v="533.53658536585363"/>
    <n v="-25000"/>
  </r>
  <r>
    <s v="2019-0362-PHL"/>
    <x v="1"/>
    <s v="Philippines"/>
    <s v="Natural"/>
    <s v="Geophysical"/>
    <s v="Earthquake"/>
    <s v="Ground movement"/>
    <s v="Asia"/>
    <n v="9"/>
    <n v="64"/>
    <n v="2963"/>
    <m/>
    <n v="3027"/>
    <n v="6452"/>
    <x v="1"/>
    <n v="500000"/>
    <n v="525000"/>
    <n v="908.1"/>
    <n v="0.75"/>
    <n v="578.1301618764453"/>
    <n v="-25000"/>
  </r>
  <r>
    <s v="2019-0349-PHL"/>
    <x v="1"/>
    <s v="Philippines"/>
    <s v="Natural"/>
    <s v="Meteorological"/>
    <s v="Storm"/>
    <s v="Tropical cyclone"/>
    <s v="Asia"/>
    <n v="4"/>
    <m/>
    <n v="2000"/>
    <m/>
    <n v="2000"/>
    <n v="463115"/>
    <x v="0"/>
    <n v="500000"/>
    <n v="525000"/>
    <n v="600"/>
    <n v="0.8"/>
    <n v="875"/>
    <n v="-25000"/>
  </r>
  <r>
    <s v="2019-0549-PHL"/>
    <x v="1"/>
    <s v="Philippines"/>
    <s v="Natural"/>
    <s v="Meteorological"/>
    <s v="Storm"/>
    <s v="Tropical cyclone"/>
    <s v="Asia"/>
    <n v="19"/>
    <n v="3"/>
    <n v="670"/>
    <m/>
    <n v="673"/>
    <n v="44172"/>
    <x v="0"/>
    <n v="500000"/>
    <n v="525000"/>
    <n v="235.55"/>
    <n v="0.8"/>
    <n v="2228.826151560178"/>
    <n v="-25000"/>
  </r>
  <r>
    <s v="2023-0450-PHL"/>
    <x v="6"/>
    <s v="Philippines"/>
    <s v="Natural"/>
    <s v="Meteorological"/>
    <s v="Storm"/>
    <s v="Tropical cyclone"/>
    <s v="Asia"/>
    <n v="2"/>
    <m/>
    <n v="450"/>
    <m/>
    <n v="450"/>
    <m/>
    <x v="0"/>
    <n v="500000"/>
    <n v="525000"/>
    <n v="135"/>
    <n v="0.79"/>
    <n v="3888.8888888888887"/>
    <n v="-25000"/>
  </r>
  <r>
    <s v="2024-0522-PHL"/>
    <x v="2"/>
    <s v="Philippines"/>
    <s v="Natural"/>
    <s v="Meteorological"/>
    <s v="Storm"/>
    <s v="Tropical cyclone"/>
    <s v="Asia"/>
    <n v="53"/>
    <n v="16"/>
    <n v="6498918"/>
    <m/>
    <n v="6498934"/>
    <n v="211000"/>
    <x v="0"/>
    <n v="3000000"/>
    <n v="3000000"/>
    <n v="1949680.2"/>
    <n v="0.77"/>
    <n v="1.5387138875390949"/>
    <n v="0"/>
  </r>
  <r>
    <s v="2025-0935-PHL"/>
    <x v="5"/>
    <s v="Philippines"/>
    <s v="Natural"/>
    <s v="Meteorological"/>
    <s v="Storm"/>
    <s v="Tropical cyclone"/>
    <s v="Asia"/>
    <n v="372"/>
    <n v="502"/>
    <n v="5450000"/>
    <m/>
    <n v="5450502"/>
    <m/>
    <x v="0"/>
    <n v="3000000"/>
    <n v="3000000"/>
    <n v="1362625.5"/>
    <n v="0.81"/>
    <n v="2.2016320698533822"/>
    <n v="0"/>
  </r>
  <r>
    <s v="2023-0002-PHL"/>
    <x v="6"/>
    <s v="Philippines"/>
    <s v="Natural"/>
    <s v="Hydrological"/>
    <s v="Flood"/>
    <s v="Flood (General)"/>
    <s v="Asia"/>
    <n v="52"/>
    <n v="11"/>
    <n v="2143347"/>
    <m/>
    <n v="2143358"/>
    <n v="31267"/>
    <x v="1"/>
    <n v="3000000"/>
    <n v="3000000"/>
    <n v="857343.2"/>
    <n v="0.89"/>
    <n v="3.499182124498101"/>
    <n v="0"/>
  </r>
  <r>
    <s v="2022-0204-PHL"/>
    <x v="3"/>
    <s v="Philippines"/>
    <s v="Natural"/>
    <s v="Meteorological"/>
    <s v="Storm"/>
    <s v="Tropical cyclone"/>
    <s v="Asia"/>
    <n v="346"/>
    <n v="8"/>
    <n v="2298780"/>
    <m/>
    <n v="2298788"/>
    <n v="44543"/>
    <x v="0"/>
    <n v="3000000"/>
    <n v="3000000"/>
    <n v="804575.8"/>
    <n v="0.78"/>
    <n v="3.7286729230483937"/>
    <n v="0"/>
  </r>
  <r>
    <s v="2022-0707-PHL"/>
    <x v="3"/>
    <s v="Philippines"/>
    <s v="Natural"/>
    <s v="Meteorological"/>
    <s v="Storm"/>
    <s v="Tropical cyclone"/>
    <s v="Asia"/>
    <n v="158"/>
    <n v="103"/>
    <n v="3323188"/>
    <m/>
    <n v="3323291"/>
    <n v="48844"/>
    <x v="0"/>
    <n v="3000000"/>
    <n v="3000000"/>
    <n v="664658.19999999995"/>
    <n v="0.85"/>
    <n v="4.5135981170472288"/>
    <n v="0"/>
  </r>
  <r>
    <s v="2024-0654-PHL"/>
    <x v="2"/>
    <s v="Philippines"/>
    <s v="Natural"/>
    <s v="Meteorological"/>
    <s v="Storm"/>
    <s v="Tropical cyclone"/>
    <s v="Asia"/>
    <n v="33"/>
    <n v="22"/>
    <n v="3000000"/>
    <m/>
    <n v="3000022"/>
    <n v="33000"/>
    <x v="0"/>
    <n v="3000000"/>
    <n v="3000000"/>
    <n v="600004.4"/>
    <n v="0.7"/>
    <n v="4.9999633336022198"/>
    <n v="0"/>
  </r>
  <r>
    <s v="2023-0791-PHL"/>
    <x v="6"/>
    <s v="Philippines"/>
    <s v="Natural"/>
    <s v="Geophysical"/>
    <s v="Earthquake"/>
    <s v="Ground movement"/>
    <s v="Asia"/>
    <n v="3"/>
    <n v="79"/>
    <n v="720997"/>
    <m/>
    <n v="721076"/>
    <n v="23382"/>
    <x v="1"/>
    <n v="3000000"/>
    <n v="3000000"/>
    <n v="324484.2"/>
    <n v="0.9"/>
    <n v="9.2454424591397668"/>
    <n v="0"/>
  </r>
  <r>
    <s v="2025-0844-PHL"/>
    <x v="5"/>
    <s v="Philippines"/>
    <s v="Natural"/>
    <s v="Geophysical"/>
    <s v="Earthquake"/>
    <s v="Ground movement"/>
    <s v="Asia"/>
    <n v="70"/>
    <n v="559"/>
    <n v="754733"/>
    <m/>
    <n v="755292"/>
    <m/>
    <x v="1"/>
    <n v="3000000"/>
    <n v="3000000"/>
    <n v="302116.8"/>
    <n v="0.84"/>
    <n v="9.9299343829935971"/>
    <n v="0"/>
  </r>
  <r>
    <s v="2019-0529-PHL"/>
    <x v="1"/>
    <s v="Philippines"/>
    <s v="Natural"/>
    <s v="Geophysical"/>
    <s v="Earthquake"/>
    <s v="Ground movement"/>
    <s v="Asia"/>
    <n v="23"/>
    <n v="417"/>
    <n v="260286"/>
    <m/>
    <n v="260703"/>
    <m/>
    <x v="1"/>
    <n v="3000000"/>
    <n v="3000000"/>
    <n v="117316.35"/>
    <n v="0.85"/>
    <n v="25.571883202980658"/>
    <n v="0"/>
  </r>
  <r>
    <s v="2021-0595-PHL"/>
    <x v="0"/>
    <s v="Philippines"/>
    <s v="Natural"/>
    <s v="Meteorological"/>
    <s v="Storm"/>
    <s v="Tropical cyclone"/>
    <s v="Asia"/>
    <n v="17"/>
    <n v="24"/>
    <n v="313373"/>
    <m/>
    <n v="313397"/>
    <m/>
    <x v="0"/>
    <n v="3000000"/>
    <n v="3000000"/>
    <n v="109688.95"/>
    <n v="0.75"/>
    <n v="27.350065799699969"/>
    <n v="0"/>
  </r>
  <r>
    <s v="2023-0762-PHL"/>
    <x v="6"/>
    <s v="Philippines"/>
    <s v="Natural"/>
    <s v="Geophysical"/>
    <s v="Earthquake"/>
    <s v="Ground movement"/>
    <s v="Asia"/>
    <n v="11"/>
    <n v="37"/>
    <n v="99541"/>
    <m/>
    <n v="99578"/>
    <n v="26142"/>
    <x v="1"/>
    <n v="2000000"/>
    <n v="2000000"/>
    <n v="29873.4"/>
    <n v="0.8"/>
    <n v="66.949192257995406"/>
    <n v="0"/>
  </r>
  <r>
    <s v="2024-0895-PHL"/>
    <x v="2"/>
    <s v="Philippines"/>
    <s v="Natural"/>
    <s v="Geophysical"/>
    <s v="Volcanic activity"/>
    <s v="Ash fall"/>
    <s v="Asia"/>
    <m/>
    <m/>
    <n v="44053"/>
    <m/>
    <n v="44053"/>
    <m/>
    <x v="2"/>
    <n v="1000000"/>
    <n v="1000000"/>
    <n v="11013.25"/>
    <n v="0.72"/>
    <n v="90.799718520872588"/>
    <n v="0"/>
  </r>
  <r>
    <s v="2019-0434-PHL"/>
    <x v="1"/>
    <s v="Philippines"/>
    <s v="Natural"/>
    <s v="Meteorological"/>
    <s v="Storm"/>
    <s v="Tropical cyclone"/>
    <s v="Asia"/>
    <n v="2"/>
    <n v="2"/>
    <n v="61500"/>
    <m/>
    <n v="61502"/>
    <m/>
    <x v="0"/>
    <n v="2000000"/>
    <n v="2000000"/>
    <n v="15375.5"/>
    <n v="0.79"/>
    <n v="130.07707066436865"/>
    <n v="0"/>
  </r>
  <r>
    <s v="2021-0339-PHL"/>
    <x v="0"/>
    <s v="Philippines"/>
    <s v="Natural"/>
    <s v="Meteorological"/>
    <s v="Storm"/>
    <s v="Tropical cyclone"/>
    <s v="Asia"/>
    <n v="11"/>
    <m/>
    <n v="21000"/>
    <m/>
    <n v="21000"/>
    <n v="12734"/>
    <x v="0"/>
    <n v="1000000"/>
    <n v="1000000"/>
    <n v="7350"/>
    <n v="0.8"/>
    <n v="136.05442176870747"/>
    <n v="0"/>
  </r>
  <r>
    <s v="2021-0682-PHL"/>
    <x v="0"/>
    <s v="Philippines"/>
    <s v="Natural"/>
    <s v="Hydrological"/>
    <s v="Flood"/>
    <s v="Flood (General)"/>
    <s v="Asia"/>
    <m/>
    <m/>
    <n v="24166"/>
    <m/>
    <n v="24166"/>
    <m/>
    <x v="1"/>
    <n v="1000000"/>
    <n v="1000000"/>
    <n v="7249.8"/>
    <n v="0.81"/>
    <n v="137.93483958178157"/>
    <n v="0"/>
  </r>
  <r>
    <s v="2024-0585-PHL"/>
    <x v="2"/>
    <s v="Philippines"/>
    <s v="Natural"/>
    <s v="Geophysical"/>
    <s v="Earthquake"/>
    <s v="Ground movement"/>
    <s v="Asia"/>
    <m/>
    <m/>
    <n v="24000"/>
    <m/>
    <n v="24000"/>
    <m/>
    <x v="1"/>
    <n v="1000000"/>
    <n v="1000000"/>
    <n v="7200"/>
    <n v="0.79"/>
    <n v="138.88888888888889"/>
    <n v="0"/>
  </r>
  <r>
    <s v="2019-0356-PHL"/>
    <x v="1"/>
    <s v="Philippines"/>
    <s v="Natural"/>
    <s v="Geophysical"/>
    <s v="Earthquake"/>
    <s v="Ground movement"/>
    <s v="Asia"/>
    <m/>
    <n v="52"/>
    <n v="9525"/>
    <m/>
    <n v="9577"/>
    <m/>
    <x v="1"/>
    <n v="500000"/>
    <n v="500000"/>
    <n v="2873.1"/>
    <n v="0.75"/>
    <n v="174.02805332219555"/>
    <n v="0"/>
  </r>
  <r>
    <s v="2021-0664-PHL"/>
    <x v="0"/>
    <s v="Philippines"/>
    <s v="Natural"/>
    <s v="Meteorological"/>
    <s v="Storm"/>
    <s v="Tropical cyclone"/>
    <s v="Asia"/>
    <n v="3"/>
    <m/>
    <n v="8048"/>
    <m/>
    <n v="8048"/>
    <n v="278"/>
    <x v="0"/>
    <n v="500000"/>
    <n v="500000"/>
    <n v="2012"/>
    <n v="0.84"/>
    <n v="248.5089463220676"/>
    <n v="0"/>
  </r>
  <r>
    <s v="2019-0021-PHL"/>
    <x v="1"/>
    <s v="Philippines"/>
    <s v="Natural"/>
    <s v="Meteorological"/>
    <s v="Storm"/>
    <s v="Tropical cyclone"/>
    <s v="Asia"/>
    <m/>
    <m/>
    <n v="13160"/>
    <m/>
    <n v="13160"/>
    <m/>
    <x v="0"/>
    <n v="1000000"/>
    <n v="1000000"/>
    <n v="2632"/>
    <n v="0.72"/>
    <n v="379.93920972644378"/>
    <n v="0"/>
  </r>
  <r>
    <s v="2019-0489-PHL"/>
    <x v="1"/>
    <s v="Philippines"/>
    <s v="Natural"/>
    <s v="Geophysical"/>
    <s v="Earthquake"/>
    <s v="Ground movement"/>
    <s v="Asia"/>
    <n v="7"/>
    <n v="215"/>
    <n v="3068"/>
    <m/>
    <n v="3283"/>
    <m/>
    <x v="1"/>
    <n v="500000"/>
    <n v="500000"/>
    <n v="984.9"/>
    <n v="0.82"/>
    <n v="507.66575286831153"/>
    <n v="0"/>
  </r>
  <r>
    <s v="2022-0195-PHL"/>
    <x v="3"/>
    <s v="Philippines"/>
    <s v="Natural"/>
    <s v="Hydrological"/>
    <s v="Flood"/>
    <s v="Flash flood"/>
    <s v="Asia"/>
    <n v="3"/>
    <m/>
    <n v="1955"/>
    <m/>
    <n v="1955"/>
    <m/>
    <x v="1"/>
    <n v="500000"/>
    <n v="500000"/>
    <n v="586.5"/>
    <n v="0.8"/>
    <n v="852.51491901108272"/>
    <n v="0"/>
  </r>
  <r>
    <s v="2020-0452-PHL"/>
    <x v="4"/>
    <s v="Philippines"/>
    <s v="Natural"/>
    <s v="Meteorological"/>
    <s v="Storm"/>
    <s v="Tropical cyclone"/>
    <s v="Asia"/>
    <n v="3"/>
    <m/>
    <n v="250"/>
    <m/>
    <n v="250"/>
    <n v="227"/>
    <x v="0"/>
    <n v="500000"/>
    <n v="500000"/>
    <n v="75"/>
    <n v="0.7"/>
    <n v="6666.666666666667"/>
    <n v="0"/>
  </r>
  <r>
    <s v="2023-0739-PHL"/>
    <x v="6"/>
    <s v="Philippines"/>
    <s v="Natural"/>
    <s v="Geophysical"/>
    <s v="Earthquake"/>
    <s v="Ground movement"/>
    <s v="Asia"/>
    <m/>
    <n v="5"/>
    <n v="175"/>
    <m/>
    <n v="180"/>
    <m/>
    <x v="1"/>
    <n v="500000"/>
    <n v="500000"/>
    <n v="54"/>
    <n v="0.75"/>
    <n v="9259.2592592592591"/>
    <n v="0"/>
  </r>
  <r>
    <s v="2022-0665-PHL"/>
    <x v="3"/>
    <s v="Philippines"/>
    <s v="Natural"/>
    <s v="Meteorological"/>
    <s v="Storm"/>
    <s v="Tropical cyclone"/>
    <s v="Asia"/>
    <m/>
    <m/>
    <n v="7000"/>
    <m/>
    <n v="7000"/>
    <n v="19294"/>
    <x v="0"/>
    <n v="500000"/>
    <n v="450000"/>
    <n v="2100"/>
    <n v="0.85"/>
    <n v="214.28571428571428"/>
    <n v="50000"/>
  </r>
  <r>
    <s v="2019-0541-PHL"/>
    <x v="1"/>
    <s v="Philippines"/>
    <s v="Natural"/>
    <s v="Meteorological"/>
    <s v="Storm"/>
    <s v="Tropical cyclone"/>
    <s v="Asia"/>
    <m/>
    <m/>
    <n v="3000"/>
    <m/>
    <n v="3000"/>
    <m/>
    <x v="0"/>
    <n v="500000"/>
    <n v="450000"/>
    <n v="1050"/>
    <n v="0.7"/>
    <n v="428.57142857142856"/>
    <n v="50000"/>
  </r>
  <r>
    <s v="2023-0623-PHL"/>
    <x v="6"/>
    <s v="Philippines"/>
    <s v="Natural"/>
    <s v="Meteorological"/>
    <s v="Storm"/>
    <s v="Tropical cyclone"/>
    <s v="Asia"/>
    <m/>
    <m/>
    <n v="275"/>
    <m/>
    <n v="275"/>
    <m/>
    <x v="0"/>
    <n v="500000"/>
    <n v="450000"/>
    <n v="96.25"/>
    <n v="0.71"/>
    <n v="4675.3246753246749"/>
    <n v="50000"/>
  </r>
  <r>
    <s v="2025-0480-PHL"/>
    <x v="5"/>
    <s v="Philippines"/>
    <s v="Natural"/>
    <s v="Hydrological"/>
    <s v="Flood"/>
    <s v="Flood (General)"/>
    <s v="Asia"/>
    <m/>
    <m/>
    <n v="192"/>
    <m/>
    <n v="192"/>
    <m/>
    <x v="1"/>
    <n v="500000"/>
    <n v="450000"/>
    <n v="57.6"/>
    <n v="0.75"/>
    <n v="7812.5"/>
    <n v="50000"/>
  </r>
  <r>
    <s v="2024-0275-PHL"/>
    <x v="2"/>
    <s v="Philippines"/>
    <s v="Natural"/>
    <s v="Meteorological"/>
    <s v="Extreme temperature"/>
    <s v="Heat wave"/>
    <s v="Asia"/>
    <m/>
    <n v="34"/>
    <m/>
    <m/>
    <n v="34"/>
    <m/>
    <x v="0"/>
    <n v="500000"/>
    <n v="450000"/>
    <n v="11.9"/>
    <n v="0.7"/>
    <n v="37815.126050420164"/>
    <n v="50000"/>
  </r>
  <r>
    <s v="2020-0568-PHL"/>
    <x v="4"/>
    <s v="Philippines"/>
    <s v="Natural"/>
    <s v="Hydrological"/>
    <s v="Mass movement (wet)"/>
    <s v="Landslide (wet)"/>
    <s v="Asia"/>
    <n v="10"/>
    <n v="11"/>
    <m/>
    <m/>
    <n v="11"/>
    <m/>
    <x v="1"/>
    <n v="500000"/>
    <n v="450000"/>
    <n v="3.3"/>
    <n v="0.75"/>
    <n v="136363.63636363638"/>
    <n v="50000"/>
  </r>
  <r>
    <s v="2023-0300-PHL"/>
    <x v="6"/>
    <s v="Philippines"/>
    <s v="Natural"/>
    <s v="Meteorological"/>
    <s v="Storm"/>
    <s v="Tropical cyclone"/>
    <s v="Asia"/>
    <n v="1"/>
    <n v="1"/>
    <n v="30500"/>
    <m/>
    <n v="30501"/>
    <m/>
    <x v="0"/>
    <n v="1000000"/>
    <n v="900000"/>
    <n v="9150.2999999999993"/>
    <n v="0.8"/>
    <n v="98.357430903904799"/>
    <n v="100000"/>
  </r>
  <r>
    <s v="2021-0108-PHL"/>
    <x v="0"/>
    <s v="Philippines"/>
    <s v="Natural"/>
    <s v="Hydrological"/>
    <s v="Flood"/>
    <s v="Flood (General)"/>
    <s v="Asia"/>
    <n v="1"/>
    <m/>
    <n v="18170"/>
    <m/>
    <n v="18170"/>
    <m/>
    <x v="1"/>
    <n v="1000000"/>
    <n v="900000"/>
    <n v="5451"/>
    <n v="0.83"/>
    <n v="165.10731975784259"/>
    <n v="100000"/>
  </r>
  <r>
    <s v="2019-0162-PHL"/>
    <x v="1"/>
    <s v="Philippines"/>
    <s v="Natural"/>
    <s v="Geophysical"/>
    <s v="Earthquake"/>
    <s v="Ground movement"/>
    <s v="Asia"/>
    <n v="25"/>
    <n v="282"/>
    <n v="15273"/>
    <m/>
    <n v="15555"/>
    <n v="61349"/>
    <x v="1"/>
    <n v="1000000"/>
    <n v="900000"/>
    <n v="4666.5"/>
    <n v="0.85"/>
    <n v="192.86403085824494"/>
    <n v="100000"/>
  </r>
  <r>
    <s v="2022-0176-PHL"/>
    <x v="3"/>
    <s v="Philippines"/>
    <s v="Natural"/>
    <s v="Geophysical"/>
    <s v="Volcanic activity"/>
    <s v="Volcanic activity (General)"/>
    <s v="Asia"/>
    <m/>
    <m/>
    <n v="10415"/>
    <m/>
    <n v="10415"/>
    <m/>
    <x v="2"/>
    <n v="1000000"/>
    <n v="900000"/>
    <n v="3124.5"/>
    <n v="0.65"/>
    <n v="288.04608737397984"/>
    <n v="100000"/>
  </r>
  <r>
    <s v="2022-0703-PHL"/>
    <x v="3"/>
    <s v="Philippines"/>
    <s v="Natural"/>
    <s v="Geophysical"/>
    <s v="Earthquake"/>
    <s v="Ground movement"/>
    <s v="Asia"/>
    <m/>
    <n v="44"/>
    <n v="147378"/>
    <m/>
    <n v="147422"/>
    <n v="1501"/>
    <x v="1"/>
    <n v="2000000"/>
    <n v="1800000"/>
    <n v="58968.800000000003"/>
    <n v="0.8"/>
    <n v="30.52461640732048"/>
    <n v="200000"/>
  </r>
  <r>
    <s v="2024-0337-PHL"/>
    <x v="2"/>
    <s v="Philippines"/>
    <s v="Natural"/>
    <s v="Meteorological"/>
    <s v="Storm"/>
    <s v="Tropical cyclone"/>
    <s v="Asia"/>
    <n v="6"/>
    <n v="8"/>
    <n v="52000"/>
    <m/>
    <n v="52008"/>
    <n v="20000"/>
    <x v="0"/>
    <n v="2000000"/>
    <n v="1800000"/>
    <n v="13002"/>
    <n v="0.85"/>
    <n v="138.4402399630826"/>
    <n v="200000"/>
  </r>
  <r>
    <s v="2025-0954-PHL"/>
    <x v="5"/>
    <s v="Philippines"/>
    <s v="Natural"/>
    <s v="Meteorological"/>
    <s v="Storm"/>
    <s v="Storm (General)"/>
    <s v="Asia"/>
    <n v="34"/>
    <n v="51"/>
    <n v="7660000"/>
    <m/>
    <n v="7660051"/>
    <m/>
    <x v="0"/>
    <n v="3000000"/>
    <n v="2700000"/>
    <n v="2298015.2999999998"/>
    <n v="0.79"/>
    <n v="1.1749269032281902"/>
    <n v="300000"/>
  </r>
  <r>
    <s v="2025-0593-PHL"/>
    <x v="5"/>
    <s v="Philippines"/>
    <s v="Natural"/>
    <s v="Meteorological"/>
    <s v="Storm"/>
    <s v="Tropical cyclone"/>
    <s v="Asia"/>
    <n v="38"/>
    <n v="8"/>
    <n v="6000000"/>
    <m/>
    <n v="6000008"/>
    <m/>
    <x v="0"/>
    <n v="3000000"/>
    <n v="2700000"/>
    <n v="1200001.6000000001"/>
    <n v="0.8"/>
    <n v="2.2499970000039999"/>
    <n v="300000"/>
  </r>
  <r>
    <s v="2025-0813-PHL"/>
    <x v="5"/>
    <s v="Philippines"/>
    <s v="Natural"/>
    <s v="Meteorological"/>
    <s v="Storm"/>
    <s v="Tropical cyclone"/>
    <s v="Asia"/>
    <n v="55"/>
    <n v="41"/>
    <n v="4580000"/>
    <m/>
    <n v="4580041"/>
    <m/>
    <x v="0"/>
    <n v="3000000"/>
    <n v="2700000"/>
    <n v="1145010.25"/>
    <n v="0.75"/>
    <n v="2.3580574933717844"/>
    <n v="300000"/>
  </r>
  <r>
    <s v="2020-0463-PHL"/>
    <x v="4"/>
    <s v="Philippines"/>
    <s v="Natural"/>
    <s v="Meteorological"/>
    <s v="Storm"/>
    <s v="Tropical cyclone"/>
    <s v="Asia"/>
    <n v="31"/>
    <n v="399"/>
    <n v="3355995"/>
    <m/>
    <n v="3356394"/>
    <n v="610011"/>
    <x v="0"/>
    <n v="3000000"/>
    <n v="2700000"/>
    <n v="839098.5"/>
    <n v="0.83"/>
    <n v="3.2177390377887698"/>
    <n v="300000"/>
  </r>
  <r>
    <s v="2024-0043-PHL"/>
    <x v="2"/>
    <s v="Philippines"/>
    <s v="Natural"/>
    <s v="Hydrological"/>
    <s v="Mass movement (wet)"/>
    <s v="Landslide (wet)"/>
    <s v="Asia"/>
    <n v="22"/>
    <n v="11"/>
    <n v="1567339"/>
    <m/>
    <n v="1567350"/>
    <n v="65110"/>
    <x v="1"/>
    <n v="3000000"/>
    <n v="2700000"/>
    <n v="548572.5"/>
    <n v="0.8"/>
    <n v="4.9218653869816658"/>
    <n v="300000"/>
  </r>
  <r>
    <s v="2019-0573-PHL"/>
    <x v="1"/>
    <s v="Philippines"/>
    <s v="Natural"/>
    <s v="Meteorological"/>
    <s v="Storm"/>
    <s v="Tropical cyclone"/>
    <s v="Asia"/>
    <n v="4"/>
    <n v="318"/>
    <n v="2305075"/>
    <n v="342165"/>
    <n v="2647558"/>
    <n v="133927"/>
    <x v="0"/>
    <n v="3000000"/>
    <n v="2700000"/>
    <n v="529511.6"/>
    <n v="0.75"/>
    <n v="5.0990384346631883"/>
    <n v="300000"/>
  </r>
  <r>
    <s v="2023-0802-PHL"/>
    <x v="6"/>
    <s v="Philippines"/>
    <s v="Natural"/>
    <s v="Hydrological"/>
    <s v="Flood"/>
    <s v="Flood (General)"/>
    <s v="Asia"/>
    <n v="2"/>
    <n v="1"/>
    <n v="1157487"/>
    <m/>
    <n v="1157488"/>
    <n v="2224"/>
    <x v="1"/>
    <n v="3000000"/>
    <n v="2700000"/>
    <n v="462995.20000000001"/>
    <n v="0.8"/>
    <n v="5.8315939344511563"/>
    <n v="300000"/>
  </r>
  <r>
    <s v="2023-0568-PHL"/>
    <x v="6"/>
    <s v="Philippines"/>
    <s v="Natural"/>
    <s v="Meteorological"/>
    <s v="Storm"/>
    <s v="Tropical cyclone"/>
    <s v="Asia"/>
    <n v="4"/>
    <n v="3"/>
    <n v="900000"/>
    <m/>
    <n v="900003"/>
    <n v="33973"/>
    <x v="0"/>
    <n v="3000000"/>
    <n v="2700000"/>
    <n v="270000.90000000002"/>
    <n v="0.7"/>
    <n v="9.9999666667777767"/>
    <n v="300000"/>
  </r>
  <r>
    <s v="2025-0793-PHL"/>
    <x v="5"/>
    <s v="Philippines"/>
    <s v="Natural"/>
    <s v="Meteorological"/>
    <s v="Storm"/>
    <s v="Tropical cyclone"/>
    <s v="Asia"/>
    <n v="11"/>
    <m/>
    <n v="690000"/>
    <m/>
    <n v="690000"/>
    <m/>
    <x v="0"/>
    <n v="3000000"/>
    <n v="2700000"/>
    <n v="207000"/>
    <n v="0.8"/>
    <n v="13.043478260869565"/>
    <n v="300000"/>
  </r>
  <r>
    <s v="2022-0448-PHL"/>
    <x v="3"/>
    <s v="Philippines"/>
    <s v="Natural"/>
    <s v="Geophysical"/>
    <s v="Earthquake"/>
    <s v="Ground movement"/>
    <s v="Asia"/>
    <n v="10"/>
    <n v="394"/>
    <n v="502462"/>
    <m/>
    <n v="502856"/>
    <n v="161853"/>
    <x v="1"/>
    <n v="3000000"/>
    <n v="2700000"/>
    <n v="201142.39999999999"/>
    <n v="0.83"/>
    <n v="13.42332596210446"/>
    <n v="300000"/>
  </r>
  <r>
    <s v="2021-0006-PHL"/>
    <x v="0"/>
    <s v="Philippines"/>
    <s v="Natural"/>
    <s v="Hydrological"/>
    <s v="Flood"/>
    <s v="Flood (General)"/>
    <s v="Asia"/>
    <n v="2"/>
    <m/>
    <n v="261580"/>
    <m/>
    <n v="261580"/>
    <m/>
    <x v="1"/>
    <n v="3000000"/>
    <n v="2700000"/>
    <n v="117711"/>
    <n v="0.9"/>
    <n v="22.937533450569614"/>
    <n v="300000"/>
  </r>
  <r>
    <s v="2025-0896-PHL"/>
    <x v="5"/>
    <s v="Philippines"/>
    <s v="Natural"/>
    <s v="Meteorological"/>
    <s v="Storm"/>
    <s v="Tropical cyclone"/>
    <s v="Asia"/>
    <n v="9"/>
    <n v="1"/>
    <n v="330000"/>
    <m/>
    <n v="330001"/>
    <m/>
    <x v="0"/>
    <n v="3000000"/>
    <n v="2700000"/>
    <n v="99000.3"/>
    <n v="0.8"/>
    <n v="27.27264462834961"/>
    <n v="300000"/>
  </r>
  <r>
    <s v="2021-0091-PHL"/>
    <x v="0"/>
    <s v="Philippines"/>
    <s v="Natural"/>
    <s v="Meteorological"/>
    <s v="Storm"/>
    <s v="Tropical cyclone"/>
    <s v="Asia"/>
    <n v="5"/>
    <n v="2"/>
    <n v="272451"/>
    <m/>
    <n v="272453"/>
    <n v="3605"/>
    <x v="0"/>
    <n v="3000000"/>
    <n v="2700000"/>
    <n v="95358.55"/>
    <n v="0.72"/>
    <n v="28.314188921706549"/>
    <n v="300000"/>
  </r>
  <r>
    <s v="2023-0102-PHL"/>
    <x v="6"/>
    <s v="Philippines"/>
    <s v="Natural"/>
    <s v="Hydrological"/>
    <s v="Flood"/>
    <s v="Flood (General)"/>
    <s v="Asia"/>
    <n v="2"/>
    <m/>
    <n v="215000"/>
    <m/>
    <n v="215000"/>
    <n v="5147"/>
    <x v="1"/>
    <n v="3000000"/>
    <n v="2700000"/>
    <n v="86000"/>
    <n v="0.75"/>
    <n v="31.395348837209301"/>
    <n v="300000"/>
  </r>
  <r>
    <s v="2024-0711-PHL"/>
    <x v="2"/>
    <s v="Philippines"/>
    <s v="Natural"/>
    <s v="Meteorological"/>
    <s v="Storm"/>
    <s v="Tropical cyclone"/>
    <s v="Asia"/>
    <n v="4"/>
    <n v="8"/>
    <n v="219000"/>
    <m/>
    <n v="219008"/>
    <n v="11000"/>
    <x v="0"/>
    <n v="3000000"/>
    <n v="2700000"/>
    <n v="65702.399999999994"/>
    <n v="0.8"/>
    <n v="41.094389246054945"/>
    <n v="300000"/>
  </r>
  <r>
    <s v="2024-0666-PHL"/>
    <x v="2"/>
    <s v="Philippines"/>
    <s v="Natural"/>
    <s v="Meteorological"/>
    <s v="Storm"/>
    <s v="Tropical cyclone"/>
    <s v="Asia"/>
    <n v="12"/>
    <n v="11"/>
    <n v="203000"/>
    <m/>
    <n v="203011"/>
    <m/>
    <x v="0"/>
    <n v="3000000"/>
    <n v="2700000"/>
    <n v="40602.199999999997"/>
    <n v="0.81"/>
    <n v="66.498859667702746"/>
    <n v="3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DAD352-4EEA-48FD-BD3D-8CF9D6B7A1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21">
    <pivotField showAll="0">
      <extLst>
        <ext xmlns:x14="http://schemas.microsoft.com/office/spreadsheetml/2009/9/main" uri="{2946ED86-A175-432a-8AC1-64E0C546D7DE}">
          <x14:pivotField fillDownLabels="1"/>
        </ext>
      </extLst>
    </pivotField>
    <pivotField showAll="0">
      <items count="8">
        <item x="1"/>
        <item x="4"/>
        <item x="0"/>
        <item x="3"/>
        <item x="6"/>
        <item x="2"/>
        <item x="5"/>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4">
        <item x="1"/>
        <item x="0"/>
        <item x="2"/>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numFmtId="1" showAll="0">
      <extLst>
        <ext xmlns:x14="http://schemas.microsoft.com/office/spreadsheetml/2009/9/main" uri="{2946ED86-A175-432a-8AC1-64E0C546D7DE}">
          <x14:pivotField fillDownLabels="1"/>
        </ext>
      </extLst>
    </pivotField>
    <pivotField numFmtId="9"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14"/>
  </rowFields>
  <rowItems count="4">
    <i>
      <x/>
    </i>
    <i>
      <x v="1"/>
    </i>
    <i>
      <x v="2"/>
    </i>
    <i t="grand">
      <x/>
    </i>
  </rowItems>
  <colFields count="1">
    <field x="-2"/>
  </colFields>
  <colItems count="2">
    <i>
      <x/>
    </i>
    <i i="1">
      <x v="1"/>
    </i>
  </colItems>
  <dataFields count="2">
    <dataField name="Sum of Budget_Allocated_USD" fld="15" baseField="0" baseItem="0" numFmtId="3"/>
    <dataField name="Sum of Actual_Spending_USD" fld="16" baseField="0" baseItem="0" numFmtId="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31D15-8BAB-4599-AE1E-DB4A0221B4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9" showAll="0"/>
    <pivotField dataField="1" numFmtId="164" showAll="0"/>
    <pivotField showAll="0"/>
  </pivotFields>
  <rowFields count="1">
    <field x="14"/>
  </rowFields>
  <rowItems count="4">
    <i>
      <x v="2"/>
    </i>
    <i>
      <x v="1"/>
    </i>
    <i>
      <x/>
    </i>
    <i t="grand">
      <x/>
    </i>
  </rowItems>
  <colItems count="1">
    <i/>
  </colItems>
  <dataFields count="1">
    <dataField name="Average of Cost_per_Beneficiary" fld="19" subtotal="average" baseField="14" baseItem="0" numFmtId="3"/>
  </dataFields>
  <chartFormats count="2">
    <chartFormat chart="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ED373-1813-45B9-8613-D9BFB89AAA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numFmtId="1" showAll="0"/>
    <pivotField dataField="1" numFmtId="9" showAll="0"/>
    <pivotField numFmtId="164" showAll="0"/>
    <pivotField showAll="0"/>
  </pivotFields>
  <rowFields count="1">
    <field x="14"/>
  </rowFields>
  <rowItems count="4">
    <i>
      <x/>
    </i>
    <i>
      <x v="1"/>
    </i>
    <i>
      <x v="2"/>
    </i>
    <i t="grand">
      <x/>
    </i>
  </rowItems>
  <colItems count="1">
    <i/>
  </colItems>
  <dataFields count="1">
    <dataField name="Average of Outcome_Rate" fld="18" subtotal="average" baseField="14" baseItem="0" numFmtId="9"/>
  </dataFields>
  <chartFormats count="2">
    <chartFormat chart="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0DE725-EA88-473B-9456-6CF868DB00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numFmtId="9" showAll="0"/>
    <pivotField numFmtId="164" showAll="0"/>
    <pivotField showAll="0"/>
  </pivotFields>
  <rowFields count="1">
    <field x="14"/>
  </rowFields>
  <rowItems count="4">
    <i>
      <x v="1"/>
    </i>
    <i>
      <x/>
    </i>
    <i>
      <x v="2"/>
    </i>
    <i t="grand">
      <x/>
    </i>
  </rowItems>
  <colFields count="1">
    <field x="-2"/>
  </colFields>
  <colItems count="2">
    <i>
      <x/>
    </i>
    <i i="1">
      <x v="1"/>
    </i>
  </colItems>
  <dataFields count="2">
    <dataField name="Sum of Total_Affected" fld="12" baseField="14" baseItem="0" numFmtId="3"/>
    <dataField name="Sum of Beneficiaries_Served" fld="17" baseField="14" baseItem="0" numFmtId="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540367A-A21A-444D-A311-FBE621ACF98D}" autoFormatId="16" applyNumberFormats="0" applyBorderFormats="0" applyFontFormats="0" applyPatternFormats="0" applyAlignmentFormats="0" applyWidthHeightFormats="0">
  <queryTableRefresh nextId="22">
    <queryTableFields count="21">
      <queryTableField id="1" name="DisNo." tableColumnId="1"/>
      <queryTableField id="2" name="Year" tableColumnId="2"/>
      <queryTableField id="3" name="Country" tableColumnId="3"/>
      <queryTableField id="4" name="Disaster_Group" tableColumnId="4"/>
      <queryTableField id="5" name="Disaster_Subgroup" tableColumnId="5"/>
      <queryTableField id="6" name="Disaster_Type" tableColumnId="6"/>
      <queryTableField id="7" name="Disaster_Subtype" tableColumnId="7"/>
      <queryTableField id="8" name="Region" tableColumnId="8"/>
      <queryTableField id="9" name="Deaths" tableColumnId="9"/>
      <queryTableField id="10" name="Injured" tableColumnId="10"/>
      <queryTableField id="11" name="Affected" tableColumnId="11"/>
      <queryTableField id="12" name="Homeless" tableColumnId="12"/>
      <queryTableField id="13" name="Total_Affected" tableColumnId="13"/>
      <queryTableField id="14" name="Total_Damage_USD" tableColumnId="14"/>
      <queryTableField id="15" name="Program_Name" tableColumnId="15"/>
      <queryTableField id="16" name="Budget_Allocated_USD" tableColumnId="16"/>
      <queryTableField id="17" name="Actual_Spending_USD" tableColumnId="17"/>
      <queryTableField id="18" name="Beneficiaries_Served" tableColumnId="18"/>
      <queryTableField id="19" name="Outcome_Rate" tableColumnId="19"/>
      <queryTableField id="20" name="Cost_per_Beneficiary" tableColumnId="20"/>
      <queryTableField id="21" name="Budget_Variance_USD" tableColumnId="21"/>
    </queryTableFields>
  </queryTableRefresh>
  <extLst>
    <ext xmlns:x15="http://schemas.microsoft.com/office/spreadsheetml/2010/11/main" uri="{883FBD77-0823-4a55-B5E3-86C4891E6966}">
      <x15:queryTable sourceDataName="Query - tbl_EMDAT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7B64143-5928-4981-9AA9-D73BA3D29F79}"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extLst>
    <ext xmlns:x15="http://schemas.microsoft.com/office/spreadsheetml/2010/11/main" uri="{883FBD77-0823-4a55-B5E3-86C4891E6966}">
      <x15:queryTable sourceDataName="Query - Program_Mapping3"/>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_Name" xr10:uid="{E6BCEE28-9EBA-4ED1-B416-55D98D9DF43A}" sourceName="Program_Name">
  <pivotTables>
    <pivotTable tabId="4" name="PivotTable2"/>
    <pivotTable tabId="3" name="PivotTable1"/>
    <pivotTable tabId="5" name="PivotTable3"/>
    <pivotTable tabId="6" name="PivotTable4"/>
  </pivotTables>
  <data>
    <tabular pivotCacheId="12148552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_Name" xr10:uid="{E90AF2DC-3631-4417-AE3C-E480CEC41BC0}" cache="Slicer_Program_Name" caption="Program_Na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C003C1-DE93-4B4E-97E5-51C9DEE4DEC3}" name="tbl_EMDAT" displayName="tbl_EMDAT" ref="A1:U98" tableType="queryTable" totalsRowShown="0">
  <autoFilter ref="A1:U98" xr:uid="{08C003C1-DE93-4B4E-97E5-51C9DEE4DEC3}"/>
  <sortState xmlns:xlrd2="http://schemas.microsoft.com/office/spreadsheetml/2017/richdata2" ref="A2:U98">
    <sortCondition ref="U1:U98"/>
  </sortState>
  <tableColumns count="21">
    <tableColumn id="1" xr3:uid="{9407B807-AAFE-44A5-B340-1432D24994F2}" uniqueName="1" name="DisNo." queryTableFieldId="1" dataDxfId="12"/>
    <tableColumn id="2" xr3:uid="{3F3EF3D5-0562-4DA3-9BA1-CCA805A3BDE5}" uniqueName="2" name="Year" queryTableFieldId="2"/>
    <tableColumn id="3" xr3:uid="{775B3A1C-FBB4-4F42-A39E-0C71F783E0D0}" uniqueName="3" name="Country" queryTableFieldId="3" dataDxfId="11"/>
    <tableColumn id="4" xr3:uid="{A9F83FA8-C980-42D5-A758-E8E6FE7978FB}" uniqueName="4" name="Disaster_Group" queryTableFieldId="4" dataDxfId="10"/>
    <tableColumn id="5" xr3:uid="{AE192745-EDBA-43D2-8431-D833B7B858E0}" uniqueName="5" name="Disaster_Subgroup" queryTableFieldId="5" dataDxfId="9"/>
    <tableColumn id="6" xr3:uid="{9FB0E6B9-3BC5-4B9F-B405-C2D8BA19EE3F}" uniqueName="6" name="Disaster_Type" queryTableFieldId="6" dataDxfId="8"/>
    <tableColumn id="7" xr3:uid="{A384CF63-C66E-4A53-AFB1-08BFDAD4B160}" uniqueName="7" name="Disaster_Subtype" queryTableFieldId="7" dataDxfId="7"/>
    <tableColumn id="8" xr3:uid="{111BFA2B-D01F-4732-A6E3-A8AABFB7E65E}" uniqueName="8" name="Region" queryTableFieldId="8" dataDxfId="6"/>
    <tableColumn id="9" xr3:uid="{40F76CF3-70C8-4851-B058-852EC5035742}" uniqueName="9" name="Deaths" queryTableFieldId="9"/>
    <tableColumn id="10" xr3:uid="{2A590ACE-3DAB-457E-AB04-BF50C996F555}" uniqueName="10" name="Injured" queryTableFieldId="10"/>
    <tableColumn id="11" xr3:uid="{3FDEB734-616B-45EF-9792-4F90696B3B2B}" uniqueName="11" name="Affected" queryTableFieldId="11"/>
    <tableColumn id="12" xr3:uid="{86C8BFBE-798E-4A44-B84E-B665F650642A}" uniqueName="12" name="Homeless" queryTableFieldId="12"/>
    <tableColumn id="13" xr3:uid="{3699D6DD-600C-4E08-8DDC-5A11F1812C45}" uniqueName="13" name="Total_Affected" queryTableFieldId="13"/>
    <tableColumn id="14" xr3:uid="{983C166E-2963-4695-8535-EA929513DC07}" uniqueName="14" name="Total_Damage_USD" queryTableFieldId="14"/>
    <tableColumn id="15" xr3:uid="{DEB8D3D2-2AB6-4531-B8AA-35407E76A9AA}" uniqueName="15" name="Program_Name" queryTableFieldId="15" dataDxfId="5"/>
    <tableColumn id="16" xr3:uid="{522B4F71-26D8-4CD5-A422-133941642A90}" uniqueName="16" name="Budget_Allocated_USD" queryTableFieldId="16"/>
    <tableColumn id="17" xr3:uid="{509D714B-0FCD-437B-984A-263E00378B15}" uniqueName="17" name="Actual_Spending_USD" queryTableFieldId="17"/>
    <tableColumn id="18" xr3:uid="{7D153AE4-A18B-433D-B6A7-40B6F6511D3A}" uniqueName="18" name="Beneficiaries_Served" queryTableFieldId="18" dataDxfId="4"/>
    <tableColumn id="19" xr3:uid="{2CC3F897-1101-42DF-8FF8-057481C8C74F}" uniqueName="19" name="Outcome_Rate" queryTableFieldId="19" dataDxfId="3"/>
    <tableColumn id="20" xr3:uid="{B74ACDC4-A8DB-493D-991E-EDB5B71C747A}" uniqueName="20" name="Cost_per_Beneficiary" queryTableFieldId="20" dataDxfId="2"/>
    <tableColumn id="21" xr3:uid="{C91A7CD1-DDC0-458B-B080-BB7A5DFD02F8}" uniqueName="21" name="Budget_Variance_USD"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DD02B1-4A48-4D1C-B202-6B2BB482515A}" name="Program_Mapping3" displayName="Program_Mapping3" ref="A1:B8" tableType="queryTable" totalsRowShown="0">
  <autoFilter ref="A1:B8" xr:uid="{07DD02B1-4A48-4D1C-B202-6B2BB482515A}"/>
  <tableColumns count="2">
    <tableColumn id="1" xr3:uid="{CDC70461-2015-4538-8257-ADE875DFB853}" uniqueName="1" name="Column1" queryTableFieldId="1" dataDxfId="1"/>
    <tableColumn id="2" xr3:uid="{6A236442-EE54-4D98-B615-129AA8B96AB1}"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4223F-1313-41F0-92E7-744899448CAC}">
  <dimension ref="A1"/>
  <sheetViews>
    <sheetView workbookViewId="0">
      <selection activeCell="W14" sqref="W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07638-7162-485B-90CF-2B497634F9AA}">
  <dimension ref="A3:C7"/>
  <sheetViews>
    <sheetView workbookViewId="0">
      <selection activeCell="N16" sqref="N16"/>
    </sheetView>
  </sheetViews>
  <sheetFormatPr defaultRowHeight="15" x14ac:dyDescent="0.25"/>
  <cols>
    <col min="1" max="1" width="18.140625" bestFit="1" customWidth="1"/>
    <col min="2" max="2" width="28.5703125" bestFit="1" customWidth="1"/>
    <col min="3" max="3" width="27.7109375" bestFit="1" customWidth="1"/>
    <col min="4" max="8" width="9" bestFit="1" customWidth="1"/>
    <col min="9" max="9" width="27.7109375" bestFit="1" customWidth="1"/>
    <col min="10" max="15" width="9" bestFit="1" customWidth="1"/>
    <col min="16" max="16" width="33.5703125" bestFit="1" customWidth="1"/>
    <col min="17" max="17" width="32.7109375" bestFit="1" customWidth="1"/>
  </cols>
  <sheetData>
    <row r="3" spans="1:3" x14ac:dyDescent="0.25">
      <c r="A3" s="5" t="s">
        <v>148</v>
      </c>
      <c r="B3" t="s">
        <v>150</v>
      </c>
      <c r="C3" t="s">
        <v>151</v>
      </c>
    </row>
    <row r="4" spans="1:3" x14ac:dyDescent="0.25">
      <c r="A4" s="6" t="s">
        <v>28</v>
      </c>
      <c r="B4" s="7">
        <v>61500000</v>
      </c>
      <c r="C4" s="7">
        <v>60925000</v>
      </c>
    </row>
    <row r="5" spans="1:3" x14ac:dyDescent="0.25">
      <c r="A5" s="6" t="s">
        <v>73</v>
      </c>
      <c r="B5" s="7">
        <v>121000000</v>
      </c>
      <c r="C5" s="7">
        <v>122000000</v>
      </c>
    </row>
    <row r="6" spans="1:3" x14ac:dyDescent="0.25">
      <c r="A6" s="6" t="s">
        <v>136</v>
      </c>
      <c r="B6" s="7">
        <v>10000000</v>
      </c>
      <c r="C6" s="7">
        <v>10450000</v>
      </c>
    </row>
    <row r="7" spans="1:3" x14ac:dyDescent="0.25">
      <c r="A7" s="6" t="s">
        <v>149</v>
      </c>
      <c r="B7" s="7">
        <v>192500000</v>
      </c>
      <c r="C7" s="7">
        <v>193375000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C677-EBEF-40D4-8648-C0D3EA059C87}">
  <dimension ref="A3:B7"/>
  <sheetViews>
    <sheetView workbookViewId="0">
      <selection activeCell="B14" sqref="B14"/>
    </sheetView>
  </sheetViews>
  <sheetFormatPr defaultRowHeight="15" x14ac:dyDescent="0.25"/>
  <cols>
    <col min="1" max="1" width="18.140625" bestFit="1" customWidth="1"/>
    <col min="2" max="2" width="30.5703125" bestFit="1" customWidth="1"/>
  </cols>
  <sheetData>
    <row r="3" spans="1:2" x14ac:dyDescent="0.25">
      <c r="A3" s="5" t="s">
        <v>148</v>
      </c>
      <c r="B3" t="s">
        <v>152</v>
      </c>
    </row>
    <row r="4" spans="1:2" x14ac:dyDescent="0.25">
      <c r="A4" s="6" t="s">
        <v>136</v>
      </c>
      <c r="B4" s="7">
        <v>130.32898288503458</v>
      </c>
    </row>
    <row r="5" spans="1:2" x14ac:dyDescent="0.25">
      <c r="A5" s="6" t="s">
        <v>73</v>
      </c>
      <c r="B5" s="7">
        <v>1084.0889858794283</v>
      </c>
    </row>
    <row r="6" spans="1:2" x14ac:dyDescent="0.25">
      <c r="A6" s="6" t="s">
        <v>28</v>
      </c>
      <c r="B6" s="7">
        <v>4517.7074678144136</v>
      </c>
    </row>
    <row r="7" spans="1:2" x14ac:dyDescent="0.25">
      <c r="A7" s="6" t="s">
        <v>149</v>
      </c>
      <c r="B7" s="7">
        <v>2254.1954482171986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BB3F-DFE0-4664-9C55-0A29DD67F010}">
  <dimension ref="A3:B7"/>
  <sheetViews>
    <sheetView workbookViewId="0">
      <selection activeCell="B4" sqref="B4"/>
    </sheetView>
  </sheetViews>
  <sheetFormatPr defaultRowHeight="15" x14ac:dyDescent="0.25"/>
  <cols>
    <col min="1" max="1" width="18.140625" bestFit="1" customWidth="1"/>
    <col min="2" max="2" width="24.5703125" bestFit="1" customWidth="1"/>
    <col min="3" max="3" width="26.7109375" bestFit="1" customWidth="1"/>
  </cols>
  <sheetData>
    <row r="3" spans="1:2" x14ac:dyDescent="0.25">
      <c r="A3" s="5" t="s">
        <v>148</v>
      </c>
      <c r="B3" t="s">
        <v>153</v>
      </c>
    </row>
    <row r="4" spans="1:2" x14ac:dyDescent="0.25">
      <c r="A4" s="6" t="s">
        <v>28</v>
      </c>
      <c r="B4" s="2">
        <v>0.81057142857142861</v>
      </c>
    </row>
    <row r="5" spans="1:2" x14ac:dyDescent="0.25">
      <c r="A5" s="6" t="s">
        <v>73</v>
      </c>
      <c r="B5" s="2">
        <v>0.78090909090909089</v>
      </c>
    </row>
    <row r="6" spans="1:2" x14ac:dyDescent="0.25">
      <c r="A6" s="6" t="s">
        <v>136</v>
      </c>
      <c r="B6" s="2">
        <v>0.73714285714285721</v>
      </c>
    </row>
    <row r="7" spans="1:2" x14ac:dyDescent="0.25">
      <c r="A7" s="6" t="s">
        <v>149</v>
      </c>
      <c r="B7" s="2">
        <v>0.78845360824742272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D376-EC70-4032-88E2-3B07CDABBDAC}">
  <dimension ref="A3:C7"/>
  <sheetViews>
    <sheetView tabSelected="1" workbookViewId="0">
      <selection activeCell="V15" sqref="V15"/>
    </sheetView>
  </sheetViews>
  <sheetFormatPr defaultRowHeight="15" x14ac:dyDescent="0.25"/>
  <cols>
    <col min="1" max="1" width="18.140625" bestFit="1" customWidth="1"/>
    <col min="2" max="2" width="21" bestFit="1" customWidth="1"/>
    <col min="3" max="3" width="26.85546875" bestFit="1" customWidth="1"/>
  </cols>
  <sheetData>
    <row r="3" spans="1:3" x14ac:dyDescent="0.25">
      <c r="A3" s="5" t="s">
        <v>148</v>
      </c>
      <c r="B3" t="s">
        <v>154</v>
      </c>
      <c r="C3" t="s">
        <v>155</v>
      </c>
    </row>
    <row r="4" spans="1:3" x14ac:dyDescent="0.25">
      <c r="A4" s="6" t="s">
        <v>73</v>
      </c>
      <c r="B4" s="7">
        <v>87274217</v>
      </c>
      <c r="C4" s="7">
        <v>21531553.400000002</v>
      </c>
    </row>
    <row r="5" spans="1:3" x14ac:dyDescent="0.25">
      <c r="A5" s="6" t="s">
        <v>28</v>
      </c>
      <c r="B5" s="7">
        <v>12685394</v>
      </c>
      <c r="C5" s="7">
        <v>4813613.75</v>
      </c>
    </row>
    <row r="6" spans="1:3" x14ac:dyDescent="0.25">
      <c r="A6" s="6" t="s">
        <v>136</v>
      </c>
      <c r="B6" s="7">
        <v>991864</v>
      </c>
      <c r="C6" s="7">
        <v>210817.09999999998</v>
      </c>
    </row>
    <row r="7" spans="1:3" x14ac:dyDescent="0.25">
      <c r="A7" s="6" t="s">
        <v>149</v>
      </c>
      <c r="B7" s="7">
        <v>100951475</v>
      </c>
      <c r="C7" s="7">
        <v>26555984.250000004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6D8E-5AEC-4E83-B102-4CAF94550748}">
  <dimension ref="A1:U98"/>
  <sheetViews>
    <sheetView topLeftCell="J53" workbookViewId="0">
      <selection activeCell="P71" sqref="A2:U98"/>
    </sheetView>
  </sheetViews>
  <sheetFormatPr defaultRowHeight="15" x14ac:dyDescent="0.25"/>
  <cols>
    <col min="1" max="1" width="13.85546875" bestFit="1" customWidth="1"/>
    <col min="2" max="2" width="7.28515625" bestFit="1" customWidth="1"/>
    <col min="3" max="3" width="11" bestFit="1" customWidth="1"/>
    <col min="4" max="4" width="17.140625" bestFit="1" customWidth="1"/>
    <col min="5" max="5" width="20.140625" bestFit="1" customWidth="1"/>
    <col min="6" max="6" width="21.140625" bestFit="1" customWidth="1"/>
    <col min="7" max="7" width="24.5703125" bestFit="1" customWidth="1"/>
    <col min="8" max="9" width="9.42578125" bestFit="1" customWidth="1"/>
    <col min="10" max="10" width="9.7109375" bestFit="1" customWidth="1"/>
    <col min="11" max="11" width="11" bestFit="1" customWidth="1"/>
    <col min="12" max="12" width="12" bestFit="1" customWidth="1"/>
    <col min="13" max="13" width="16.5703125" bestFit="1" customWidth="1"/>
    <col min="14" max="14" width="20.85546875" bestFit="1" customWidth="1"/>
    <col min="15" max="15" width="18.140625" bestFit="1" customWidth="1"/>
    <col min="16" max="16" width="24.140625" bestFit="1" customWidth="1"/>
    <col min="17" max="17" width="23.140625" bestFit="1" customWidth="1"/>
    <col min="18" max="18" width="22.28515625" bestFit="1" customWidth="1"/>
    <col min="19" max="19" width="16.5703125" bestFit="1" customWidth="1"/>
    <col min="20" max="20" width="22.42578125" bestFit="1" customWidth="1"/>
    <col min="21" max="21" width="23.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s="4" t="s">
        <v>17</v>
      </c>
      <c r="S1" s="2" t="s">
        <v>18</v>
      </c>
      <c r="T1" s="3" t="s">
        <v>19</v>
      </c>
      <c r="U1" t="s">
        <v>20</v>
      </c>
    </row>
    <row r="2" spans="1:21" x14ac:dyDescent="0.25">
      <c r="A2" s="1" t="s">
        <v>132</v>
      </c>
      <c r="B2">
        <v>2021</v>
      </c>
      <c r="C2" s="1" t="s">
        <v>22</v>
      </c>
      <c r="D2" s="1" t="s">
        <v>23</v>
      </c>
      <c r="E2" s="1" t="s">
        <v>70</v>
      </c>
      <c r="F2" s="1" t="s">
        <v>75</v>
      </c>
      <c r="G2" s="1" t="s">
        <v>76</v>
      </c>
      <c r="H2" s="1" t="s">
        <v>27</v>
      </c>
      <c r="I2">
        <v>457</v>
      </c>
      <c r="J2">
        <v>1371</v>
      </c>
      <c r="K2">
        <v>10607625</v>
      </c>
      <c r="M2">
        <v>10608996</v>
      </c>
      <c r="N2">
        <v>1059566</v>
      </c>
      <c r="O2" s="1" t="s">
        <v>73</v>
      </c>
      <c r="P2">
        <v>3000000</v>
      </c>
      <c r="Q2">
        <v>3300000</v>
      </c>
      <c r="R2" s="4">
        <v>2121799.2000000002</v>
      </c>
      <c r="S2" s="2">
        <v>0.81</v>
      </c>
      <c r="T2" s="3">
        <f>IFERROR(tbl_EMDAT[[#This Row],[Actual_Spending_USD]]/tbl_EMDAT[[#This Row],[Beneficiaries_Served]], 0)</f>
        <v>1.5552838364723673</v>
      </c>
      <c r="U2">
        <f>tbl_EMDAT[[#This Row],[Budget_Allocated_USD]] - tbl_EMDAT[[#This Row],[Actual_Spending_USD]]</f>
        <v>-300000</v>
      </c>
    </row>
    <row r="3" spans="1:21" x14ac:dyDescent="0.25">
      <c r="A3" s="1" t="s">
        <v>120</v>
      </c>
      <c r="B3">
        <v>2019</v>
      </c>
      <c r="C3" s="1" t="s">
        <v>22</v>
      </c>
      <c r="D3" s="1" t="s">
        <v>23</v>
      </c>
      <c r="E3" s="1" t="s">
        <v>70</v>
      </c>
      <c r="F3" s="1" t="s">
        <v>75</v>
      </c>
      <c r="G3" s="1" t="s">
        <v>76</v>
      </c>
      <c r="H3" s="1" t="s">
        <v>27</v>
      </c>
      <c r="I3">
        <v>63</v>
      </c>
      <c r="J3">
        <v>369</v>
      </c>
      <c r="K3">
        <v>3296877</v>
      </c>
      <c r="M3">
        <v>3297246</v>
      </c>
      <c r="N3">
        <v>19291</v>
      </c>
      <c r="O3" s="1" t="s">
        <v>73</v>
      </c>
      <c r="P3">
        <v>3000000</v>
      </c>
      <c r="Q3">
        <v>3300000</v>
      </c>
      <c r="R3" s="4">
        <v>989173.8</v>
      </c>
      <c r="S3" s="2">
        <v>0.8</v>
      </c>
      <c r="T3" s="3">
        <f>IFERROR(tbl_EMDAT[[#This Row],[Actual_Spending_USD]]/tbl_EMDAT[[#This Row],[Beneficiaries_Served]], 0)</f>
        <v>3.3361174750079305</v>
      </c>
      <c r="U3">
        <f>tbl_EMDAT[[#This Row],[Budget_Allocated_USD]] - tbl_EMDAT[[#This Row],[Actual_Spending_USD]]</f>
        <v>-300000</v>
      </c>
    </row>
    <row r="4" spans="1:21" x14ac:dyDescent="0.25">
      <c r="A4" s="1" t="s">
        <v>66</v>
      </c>
      <c r="B4">
        <v>2024</v>
      </c>
      <c r="C4" s="1" t="s">
        <v>22</v>
      </c>
      <c r="D4" s="1" t="s">
        <v>23</v>
      </c>
      <c r="E4" s="1" t="s">
        <v>24</v>
      </c>
      <c r="F4" s="1" t="s">
        <v>25</v>
      </c>
      <c r="G4" s="1" t="s">
        <v>26</v>
      </c>
      <c r="H4" s="1" t="s">
        <v>27</v>
      </c>
      <c r="I4">
        <v>128</v>
      </c>
      <c r="J4">
        <v>32</v>
      </c>
      <c r="K4">
        <v>1400000</v>
      </c>
      <c r="M4">
        <v>1400032</v>
      </c>
      <c r="N4">
        <v>50000</v>
      </c>
      <c r="O4" s="1" t="s">
        <v>28</v>
      </c>
      <c r="P4">
        <v>3000000</v>
      </c>
      <c r="Q4">
        <v>3300000</v>
      </c>
      <c r="R4" s="4">
        <v>420009.6</v>
      </c>
      <c r="S4" s="2">
        <v>0.78</v>
      </c>
      <c r="T4" s="3">
        <f>IFERROR(tbl_EMDAT[[#This Row],[Actual_Spending_USD]]/tbl_EMDAT[[#This Row],[Beneficiaries_Served]], 0)</f>
        <v>7.8569632694109854</v>
      </c>
      <c r="U4">
        <f>tbl_EMDAT[[#This Row],[Budget_Allocated_USD]] - tbl_EMDAT[[#This Row],[Actual_Spending_USD]]</f>
        <v>-300000</v>
      </c>
    </row>
    <row r="5" spans="1:21" x14ac:dyDescent="0.25">
      <c r="A5" s="1" t="s">
        <v>116</v>
      </c>
      <c r="B5">
        <v>2021</v>
      </c>
      <c r="C5" s="1" t="s">
        <v>22</v>
      </c>
      <c r="D5" s="1" t="s">
        <v>23</v>
      </c>
      <c r="E5" s="1" t="s">
        <v>70</v>
      </c>
      <c r="F5" s="1" t="s">
        <v>75</v>
      </c>
      <c r="G5" s="1" t="s">
        <v>76</v>
      </c>
      <c r="H5" s="1" t="s">
        <v>27</v>
      </c>
      <c r="I5">
        <v>59</v>
      </c>
      <c r="J5">
        <v>5</v>
      </c>
      <c r="K5">
        <v>1140534</v>
      </c>
      <c r="M5">
        <v>1140539</v>
      </c>
      <c r="N5">
        <v>87530</v>
      </c>
      <c r="O5" s="1" t="s">
        <v>73</v>
      </c>
      <c r="P5">
        <v>3000000</v>
      </c>
      <c r="Q5">
        <v>3300000</v>
      </c>
      <c r="R5" s="4">
        <v>342161.7</v>
      </c>
      <c r="S5" s="2">
        <v>0.82</v>
      </c>
      <c r="T5" s="3">
        <f>IFERROR(tbl_EMDAT[[#This Row],[Actual_Spending_USD]]/tbl_EMDAT[[#This Row],[Beneficiaries_Served]], 0)</f>
        <v>9.6445627900492656</v>
      </c>
      <c r="U5">
        <f>tbl_EMDAT[[#This Row],[Budget_Allocated_USD]] - tbl_EMDAT[[#This Row],[Actual_Spending_USD]]</f>
        <v>-300000</v>
      </c>
    </row>
    <row r="6" spans="1:21" x14ac:dyDescent="0.25">
      <c r="A6" s="1" t="s">
        <v>114</v>
      </c>
      <c r="B6">
        <v>2022</v>
      </c>
      <c r="C6" s="1" t="s">
        <v>22</v>
      </c>
      <c r="D6" s="1" t="s">
        <v>23</v>
      </c>
      <c r="E6" s="1" t="s">
        <v>70</v>
      </c>
      <c r="F6" s="1" t="s">
        <v>75</v>
      </c>
      <c r="G6" s="1" t="s">
        <v>115</v>
      </c>
      <c r="H6" s="1" t="s">
        <v>27</v>
      </c>
      <c r="I6">
        <v>17</v>
      </c>
      <c r="J6">
        <v>52</v>
      </c>
      <c r="K6">
        <v>913893</v>
      </c>
      <c r="M6">
        <v>913945</v>
      </c>
      <c r="N6">
        <v>61039</v>
      </c>
      <c r="O6" s="1" t="s">
        <v>73</v>
      </c>
      <c r="P6">
        <v>3000000</v>
      </c>
      <c r="Q6">
        <v>3300000</v>
      </c>
      <c r="R6" s="4">
        <v>228486.25</v>
      </c>
      <c r="S6" s="2">
        <v>0.8</v>
      </c>
      <c r="T6" s="3">
        <f>IFERROR(tbl_EMDAT[[#This Row],[Actual_Spending_USD]]/tbl_EMDAT[[#This Row],[Beneficiaries_Served]], 0)</f>
        <v>14.442882230331147</v>
      </c>
      <c r="U6">
        <f>tbl_EMDAT[[#This Row],[Budget_Allocated_USD]] - tbl_EMDAT[[#This Row],[Actual_Spending_USD]]</f>
        <v>-300000</v>
      </c>
    </row>
    <row r="7" spans="1:21" x14ac:dyDescent="0.25">
      <c r="A7" s="1" t="s">
        <v>110</v>
      </c>
      <c r="B7">
        <v>2020</v>
      </c>
      <c r="C7" s="1" t="s">
        <v>22</v>
      </c>
      <c r="D7" s="1" t="s">
        <v>23</v>
      </c>
      <c r="E7" s="1" t="s">
        <v>70</v>
      </c>
      <c r="F7" s="1" t="s">
        <v>75</v>
      </c>
      <c r="G7" s="1" t="s">
        <v>76</v>
      </c>
      <c r="H7" s="1" t="s">
        <v>27</v>
      </c>
      <c r="I7">
        <v>5</v>
      </c>
      <c r="J7">
        <v>169</v>
      </c>
      <c r="K7">
        <v>578571</v>
      </c>
      <c r="M7">
        <v>578740</v>
      </c>
      <c r="N7">
        <v>37694</v>
      </c>
      <c r="O7" s="1" t="s">
        <v>73</v>
      </c>
      <c r="P7">
        <v>3000000</v>
      </c>
      <c r="Q7">
        <v>3300000</v>
      </c>
      <c r="R7" s="4">
        <v>202559</v>
      </c>
      <c r="S7" s="2">
        <v>0.7</v>
      </c>
      <c r="T7" s="3">
        <f>IFERROR(tbl_EMDAT[[#This Row],[Actual_Spending_USD]]/tbl_EMDAT[[#This Row],[Beneficiaries_Served]], 0)</f>
        <v>16.291549622579101</v>
      </c>
      <c r="U7">
        <f>tbl_EMDAT[[#This Row],[Budget_Allocated_USD]] - tbl_EMDAT[[#This Row],[Actual_Spending_USD]]</f>
        <v>-300000</v>
      </c>
    </row>
    <row r="8" spans="1:21" x14ac:dyDescent="0.25">
      <c r="A8" s="1" t="s">
        <v>112</v>
      </c>
      <c r="B8">
        <v>2020</v>
      </c>
      <c r="C8" s="1" t="s">
        <v>22</v>
      </c>
      <c r="D8" s="1" t="s">
        <v>23</v>
      </c>
      <c r="E8" s="1" t="s">
        <v>70</v>
      </c>
      <c r="F8" s="1" t="s">
        <v>75</v>
      </c>
      <c r="G8" s="1" t="s">
        <v>76</v>
      </c>
      <c r="H8" s="1" t="s">
        <v>27</v>
      </c>
      <c r="I8">
        <v>31</v>
      </c>
      <c r="J8">
        <v>40</v>
      </c>
      <c r="K8">
        <v>888375</v>
      </c>
      <c r="M8">
        <v>888415</v>
      </c>
      <c r="N8">
        <v>105568</v>
      </c>
      <c r="O8" s="1" t="s">
        <v>73</v>
      </c>
      <c r="P8">
        <v>3000000</v>
      </c>
      <c r="Q8">
        <v>3300000</v>
      </c>
      <c r="R8" s="4">
        <v>177683</v>
      </c>
      <c r="S8" s="2">
        <v>0.73</v>
      </c>
      <c r="T8" s="3">
        <f>IFERROR(tbl_EMDAT[[#This Row],[Actual_Spending_USD]]/tbl_EMDAT[[#This Row],[Beneficiaries_Served]], 0)</f>
        <v>18.572401411502508</v>
      </c>
      <c r="U8">
        <f>tbl_EMDAT[[#This Row],[Budget_Allocated_USD]] - tbl_EMDAT[[#This Row],[Actual_Spending_USD]]</f>
        <v>-300000</v>
      </c>
    </row>
    <row r="9" spans="1:21" x14ac:dyDescent="0.25">
      <c r="A9" s="1" t="s">
        <v>145</v>
      </c>
      <c r="B9">
        <v>2020</v>
      </c>
      <c r="C9" s="1" t="s">
        <v>22</v>
      </c>
      <c r="D9" s="1" t="s">
        <v>23</v>
      </c>
      <c r="E9" s="1" t="s">
        <v>30</v>
      </c>
      <c r="F9" s="1" t="s">
        <v>134</v>
      </c>
      <c r="G9" s="1" t="s">
        <v>143</v>
      </c>
      <c r="H9" s="1" t="s">
        <v>27</v>
      </c>
      <c r="I9">
        <v>1</v>
      </c>
      <c r="K9">
        <v>736802</v>
      </c>
      <c r="M9">
        <v>736802</v>
      </c>
      <c r="N9">
        <v>79994</v>
      </c>
      <c r="O9" s="1" t="s">
        <v>136</v>
      </c>
      <c r="P9">
        <v>3000000</v>
      </c>
      <c r="Q9">
        <v>3300000</v>
      </c>
      <c r="R9" s="4">
        <v>147360.4</v>
      </c>
      <c r="S9" s="2">
        <v>0.8</v>
      </c>
      <c r="T9" s="3">
        <f>IFERROR(tbl_EMDAT[[#This Row],[Actual_Spending_USD]]/tbl_EMDAT[[#This Row],[Beneficiaries_Served]], 0)</f>
        <v>22.394076020423398</v>
      </c>
      <c r="U9">
        <f>tbl_EMDAT[[#This Row],[Budget_Allocated_USD]] - tbl_EMDAT[[#This Row],[Actual_Spending_USD]]</f>
        <v>-300000</v>
      </c>
    </row>
    <row r="10" spans="1:21" x14ac:dyDescent="0.25">
      <c r="A10" s="1" t="s">
        <v>107</v>
      </c>
      <c r="B10">
        <v>2024</v>
      </c>
      <c r="C10" s="1" t="s">
        <v>22</v>
      </c>
      <c r="D10" s="1" t="s">
        <v>23</v>
      </c>
      <c r="E10" s="1" t="s">
        <v>70</v>
      </c>
      <c r="F10" s="1" t="s">
        <v>75</v>
      </c>
      <c r="G10" s="1" t="s">
        <v>76</v>
      </c>
      <c r="H10" s="1" t="s">
        <v>27</v>
      </c>
      <c r="I10">
        <v>1</v>
      </c>
      <c r="J10">
        <v>1</v>
      </c>
      <c r="K10">
        <v>375000</v>
      </c>
      <c r="M10">
        <v>375001</v>
      </c>
      <c r="N10">
        <v>10000</v>
      </c>
      <c r="O10" s="1" t="s">
        <v>73</v>
      </c>
      <c r="P10">
        <v>3000000</v>
      </c>
      <c r="Q10">
        <v>3300000</v>
      </c>
      <c r="R10" s="4">
        <v>131250.35</v>
      </c>
      <c r="S10" s="2">
        <v>0.71</v>
      </c>
      <c r="T10" s="3">
        <f>IFERROR(tbl_EMDAT[[#This Row],[Actual_Spending_USD]]/tbl_EMDAT[[#This Row],[Beneficiaries_Served]], 0)</f>
        <v>25.142790095416888</v>
      </c>
      <c r="U10">
        <f>tbl_EMDAT[[#This Row],[Budget_Allocated_USD]] - tbl_EMDAT[[#This Row],[Actual_Spending_USD]]</f>
        <v>-300000</v>
      </c>
    </row>
    <row r="11" spans="1:21" x14ac:dyDescent="0.25">
      <c r="A11" s="1" t="s">
        <v>109</v>
      </c>
      <c r="B11">
        <v>2020</v>
      </c>
      <c r="C11" s="1" t="s">
        <v>22</v>
      </c>
      <c r="D11" s="1" t="s">
        <v>23</v>
      </c>
      <c r="E11" s="1" t="s">
        <v>70</v>
      </c>
      <c r="F11" s="1" t="s">
        <v>75</v>
      </c>
      <c r="G11" s="1" t="s">
        <v>76</v>
      </c>
      <c r="H11" s="1" t="s">
        <v>27</v>
      </c>
      <c r="I11">
        <v>111</v>
      </c>
      <c r="J11">
        <v>85</v>
      </c>
      <c r="K11">
        <v>514824</v>
      </c>
      <c r="M11">
        <v>514909</v>
      </c>
      <c r="N11">
        <v>510268</v>
      </c>
      <c r="O11" s="1" t="s">
        <v>73</v>
      </c>
      <c r="P11">
        <v>3000000</v>
      </c>
      <c r="Q11">
        <v>3300000</v>
      </c>
      <c r="R11" s="4">
        <v>128727.25</v>
      </c>
      <c r="S11" s="2">
        <v>0.75</v>
      </c>
      <c r="T11" s="3">
        <f>IFERROR(tbl_EMDAT[[#This Row],[Actual_Spending_USD]]/tbl_EMDAT[[#This Row],[Beneficiaries_Served]], 0)</f>
        <v>25.635597746397906</v>
      </c>
      <c r="U11">
        <f>tbl_EMDAT[[#This Row],[Budget_Allocated_USD]] - tbl_EMDAT[[#This Row],[Actual_Spending_USD]]</f>
        <v>-300000</v>
      </c>
    </row>
    <row r="12" spans="1:21" x14ac:dyDescent="0.25">
      <c r="A12" s="1" t="s">
        <v>102</v>
      </c>
      <c r="B12">
        <v>2025</v>
      </c>
      <c r="C12" s="1" t="s">
        <v>22</v>
      </c>
      <c r="D12" s="1" t="s">
        <v>23</v>
      </c>
      <c r="E12" s="1" t="s">
        <v>70</v>
      </c>
      <c r="F12" s="1" t="s">
        <v>75</v>
      </c>
      <c r="G12" s="1" t="s">
        <v>76</v>
      </c>
      <c r="H12" s="1" t="s">
        <v>27</v>
      </c>
      <c r="I12">
        <v>2</v>
      </c>
      <c r="K12">
        <v>275500</v>
      </c>
      <c r="M12">
        <v>275500</v>
      </c>
      <c r="O12" s="1" t="s">
        <v>73</v>
      </c>
      <c r="P12">
        <v>3000000</v>
      </c>
      <c r="Q12">
        <v>3300000</v>
      </c>
      <c r="R12" s="4">
        <v>68875</v>
      </c>
      <c r="S12" s="2">
        <v>0.78</v>
      </c>
      <c r="T12" s="3">
        <f>IFERROR(tbl_EMDAT[[#This Row],[Actual_Spending_USD]]/tbl_EMDAT[[#This Row],[Beneficiaries_Served]], 0)</f>
        <v>47.91288566243194</v>
      </c>
      <c r="U12">
        <f>tbl_EMDAT[[#This Row],[Budget_Allocated_USD]] - tbl_EMDAT[[#This Row],[Actual_Spending_USD]]</f>
        <v>-300000</v>
      </c>
    </row>
    <row r="13" spans="1:21" x14ac:dyDescent="0.25">
      <c r="A13" s="1" t="s">
        <v>100</v>
      </c>
      <c r="B13">
        <v>2025</v>
      </c>
      <c r="C13" s="1" t="s">
        <v>22</v>
      </c>
      <c r="D13" s="1" t="s">
        <v>23</v>
      </c>
      <c r="E13" s="1" t="s">
        <v>70</v>
      </c>
      <c r="F13" s="1" t="s">
        <v>75</v>
      </c>
      <c r="G13" s="1" t="s">
        <v>92</v>
      </c>
      <c r="H13" s="1" t="s">
        <v>27</v>
      </c>
      <c r="K13">
        <v>233945</v>
      </c>
      <c r="M13">
        <v>233945</v>
      </c>
      <c r="O13" s="1" t="s">
        <v>73</v>
      </c>
      <c r="P13">
        <v>3000000</v>
      </c>
      <c r="Q13">
        <v>3300000</v>
      </c>
      <c r="R13" s="4">
        <v>58486.25</v>
      </c>
      <c r="S13" s="2">
        <v>0.84</v>
      </c>
      <c r="T13" s="3">
        <f>IFERROR(tbl_EMDAT[[#This Row],[Actual_Spending_USD]]/tbl_EMDAT[[#This Row],[Beneficiaries_Served]], 0)</f>
        <v>56.423518348329736</v>
      </c>
      <c r="U13">
        <f>tbl_EMDAT[[#This Row],[Budget_Allocated_USD]] - tbl_EMDAT[[#This Row],[Actual_Spending_USD]]</f>
        <v>-300000</v>
      </c>
    </row>
    <row r="14" spans="1:21" x14ac:dyDescent="0.25">
      <c r="A14" s="1" t="s">
        <v>95</v>
      </c>
      <c r="B14">
        <v>2024</v>
      </c>
      <c r="C14" s="1" t="s">
        <v>22</v>
      </c>
      <c r="D14" s="1" t="s">
        <v>23</v>
      </c>
      <c r="E14" s="1" t="s">
        <v>70</v>
      </c>
      <c r="F14" s="1" t="s">
        <v>75</v>
      </c>
      <c r="G14" s="1" t="s">
        <v>76</v>
      </c>
      <c r="H14" s="1" t="s">
        <v>27</v>
      </c>
      <c r="I14">
        <v>38</v>
      </c>
      <c r="J14">
        <v>13</v>
      </c>
      <c r="K14">
        <v>95000</v>
      </c>
      <c r="M14">
        <v>95013</v>
      </c>
      <c r="O14" s="1" t="s">
        <v>73</v>
      </c>
      <c r="P14">
        <v>2000000</v>
      </c>
      <c r="Q14">
        <v>2200000</v>
      </c>
      <c r="R14" s="4">
        <v>33254.550000000003</v>
      </c>
      <c r="S14" s="2">
        <v>0.84</v>
      </c>
      <c r="T14" s="3">
        <f>IFERROR(tbl_EMDAT[[#This Row],[Actual_Spending_USD]]/tbl_EMDAT[[#This Row],[Beneficiaries_Served]], 0)</f>
        <v>66.156360558179244</v>
      </c>
      <c r="U14">
        <f>tbl_EMDAT[[#This Row],[Budget_Allocated_USD]] - tbl_EMDAT[[#This Row],[Actual_Spending_USD]]</f>
        <v>-200000</v>
      </c>
    </row>
    <row r="15" spans="1:21" x14ac:dyDescent="0.25">
      <c r="A15" s="1" t="s">
        <v>96</v>
      </c>
      <c r="B15">
        <v>2022</v>
      </c>
      <c r="C15" s="1" t="s">
        <v>22</v>
      </c>
      <c r="D15" s="1" t="s">
        <v>23</v>
      </c>
      <c r="E15" s="1" t="s">
        <v>70</v>
      </c>
      <c r="F15" s="1" t="s">
        <v>75</v>
      </c>
      <c r="G15" s="1" t="s">
        <v>76</v>
      </c>
      <c r="H15" s="1" t="s">
        <v>27</v>
      </c>
      <c r="J15">
        <v>2</v>
      </c>
      <c r="K15">
        <v>103600</v>
      </c>
      <c r="M15">
        <v>103602</v>
      </c>
      <c r="O15" s="1" t="s">
        <v>73</v>
      </c>
      <c r="P15">
        <v>2000000</v>
      </c>
      <c r="Q15">
        <v>2200000</v>
      </c>
      <c r="R15" s="4">
        <v>25900.5</v>
      </c>
      <c r="S15" s="2">
        <v>0.8</v>
      </c>
      <c r="T15" s="3">
        <f>IFERROR(tbl_EMDAT[[#This Row],[Actual_Spending_USD]]/tbl_EMDAT[[#This Row],[Beneficiaries_Served]], 0)</f>
        <v>84.940445165151246</v>
      </c>
      <c r="U15">
        <f>tbl_EMDAT[[#This Row],[Budget_Allocated_USD]] - tbl_EMDAT[[#This Row],[Actual_Spending_USD]]</f>
        <v>-200000</v>
      </c>
    </row>
    <row r="16" spans="1:21" x14ac:dyDescent="0.25">
      <c r="A16" s="1" t="s">
        <v>131</v>
      </c>
      <c r="B16">
        <v>2024</v>
      </c>
      <c r="C16" s="1" t="s">
        <v>22</v>
      </c>
      <c r="D16" s="1" t="s">
        <v>23</v>
      </c>
      <c r="E16" s="1" t="s">
        <v>70</v>
      </c>
      <c r="F16" s="1" t="s">
        <v>75</v>
      </c>
      <c r="G16" s="1" t="s">
        <v>76</v>
      </c>
      <c r="H16" s="1" t="s">
        <v>27</v>
      </c>
      <c r="I16">
        <v>191</v>
      </c>
      <c r="J16">
        <v>132</v>
      </c>
      <c r="K16">
        <v>9652607</v>
      </c>
      <c r="M16">
        <v>9652739</v>
      </c>
      <c r="N16">
        <v>373000</v>
      </c>
      <c r="O16" s="1" t="s">
        <v>73</v>
      </c>
      <c r="P16">
        <v>3000000</v>
      </c>
      <c r="Q16">
        <v>3150000</v>
      </c>
      <c r="R16" s="4">
        <v>1930547.8</v>
      </c>
      <c r="S16" s="2">
        <v>0.82</v>
      </c>
      <c r="T16" s="3">
        <f>IFERROR(tbl_EMDAT[[#This Row],[Actual_Spending_USD]]/tbl_EMDAT[[#This Row],[Beneficiaries_Served]], 0)</f>
        <v>1.6316612310764851</v>
      </c>
      <c r="U16">
        <f>tbl_EMDAT[[#This Row],[Budget_Allocated_USD]] - tbl_EMDAT[[#This Row],[Actual_Spending_USD]]</f>
        <v>-150000</v>
      </c>
    </row>
    <row r="17" spans="1:21" x14ac:dyDescent="0.25">
      <c r="A17" s="1" t="s">
        <v>125</v>
      </c>
      <c r="B17">
        <v>2023</v>
      </c>
      <c r="C17" s="1" t="s">
        <v>22</v>
      </c>
      <c r="D17" s="1" t="s">
        <v>23</v>
      </c>
      <c r="E17" s="1" t="s">
        <v>70</v>
      </c>
      <c r="F17" s="1" t="s">
        <v>75</v>
      </c>
      <c r="G17" s="1" t="s">
        <v>76</v>
      </c>
      <c r="H17" s="1" t="s">
        <v>27</v>
      </c>
      <c r="I17">
        <v>39</v>
      </c>
      <c r="J17">
        <v>171</v>
      </c>
      <c r="K17">
        <v>5385066</v>
      </c>
      <c r="M17">
        <v>5385237</v>
      </c>
      <c r="N17">
        <v>292640</v>
      </c>
      <c r="O17" s="1" t="s">
        <v>73</v>
      </c>
      <c r="P17">
        <v>3000000</v>
      </c>
      <c r="Q17">
        <v>3150000</v>
      </c>
      <c r="R17" s="4">
        <v>1615571.1</v>
      </c>
      <c r="S17" s="2">
        <v>0.79</v>
      </c>
      <c r="T17" s="3">
        <f>IFERROR(tbl_EMDAT[[#This Row],[Actual_Spending_USD]]/tbl_EMDAT[[#This Row],[Beneficiaries_Served]], 0)</f>
        <v>1.9497749124133255</v>
      </c>
      <c r="U17">
        <f>tbl_EMDAT[[#This Row],[Budget_Allocated_USD]] - tbl_EMDAT[[#This Row],[Actual_Spending_USD]]</f>
        <v>-150000</v>
      </c>
    </row>
    <row r="18" spans="1:21" x14ac:dyDescent="0.25">
      <c r="A18" s="1" t="s">
        <v>123</v>
      </c>
      <c r="B18">
        <v>2024</v>
      </c>
      <c r="C18" s="1" t="s">
        <v>22</v>
      </c>
      <c r="D18" s="1" t="s">
        <v>23</v>
      </c>
      <c r="E18" s="1" t="s">
        <v>70</v>
      </c>
      <c r="F18" s="1" t="s">
        <v>75</v>
      </c>
      <c r="G18" s="1" t="s">
        <v>76</v>
      </c>
      <c r="H18" s="1" t="s">
        <v>27</v>
      </c>
      <c r="I18">
        <v>15</v>
      </c>
      <c r="J18">
        <v>14</v>
      </c>
      <c r="K18">
        <v>3967000</v>
      </c>
      <c r="M18">
        <v>3967014</v>
      </c>
      <c r="N18">
        <v>100000</v>
      </c>
      <c r="O18" s="1" t="s">
        <v>73</v>
      </c>
      <c r="P18">
        <v>3000000</v>
      </c>
      <c r="Q18">
        <v>3150000</v>
      </c>
      <c r="R18" s="4">
        <v>793402.8</v>
      </c>
      <c r="S18" s="2">
        <v>0.8</v>
      </c>
      <c r="T18" s="3">
        <f>IFERROR(tbl_EMDAT[[#This Row],[Actual_Spending_USD]]/tbl_EMDAT[[#This Row],[Beneficiaries_Served]], 0)</f>
        <v>3.9702405890173313</v>
      </c>
      <c r="U18">
        <f>tbl_EMDAT[[#This Row],[Budget_Allocated_USD]] - tbl_EMDAT[[#This Row],[Actual_Spending_USD]]</f>
        <v>-150000</v>
      </c>
    </row>
    <row r="19" spans="1:21" x14ac:dyDescent="0.25">
      <c r="A19" s="1" t="s">
        <v>65</v>
      </c>
      <c r="B19">
        <v>2024</v>
      </c>
      <c r="C19" s="1" t="s">
        <v>22</v>
      </c>
      <c r="D19" s="1" t="s">
        <v>23</v>
      </c>
      <c r="E19" s="1" t="s">
        <v>24</v>
      </c>
      <c r="F19" s="1" t="s">
        <v>34</v>
      </c>
      <c r="G19" s="1" t="s">
        <v>35</v>
      </c>
      <c r="H19" s="1" t="s">
        <v>27</v>
      </c>
      <c r="I19">
        <v>21</v>
      </c>
      <c r="J19">
        <v>11</v>
      </c>
      <c r="K19">
        <v>1228003</v>
      </c>
      <c r="M19">
        <v>1228014</v>
      </c>
      <c r="N19">
        <v>30000</v>
      </c>
      <c r="O19" s="1" t="s">
        <v>28</v>
      </c>
      <c r="P19">
        <v>3000000</v>
      </c>
      <c r="Q19">
        <v>3150000</v>
      </c>
      <c r="R19" s="4">
        <v>491205.6</v>
      </c>
      <c r="S19" s="2">
        <v>0.82</v>
      </c>
      <c r="T19" s="3">
        <f>IFERROR(tbl_EMDAT[[#This Row],[Actual_Spending_USD]]/tbl_EMDAT[[#This Row],[Beneficiaries_Served]], 0)</f>
        <v>6.4127933394896148</v>
      </c>
      <c r="U19">
        <f>tbl_EMDAT[[#This Row],[Budget_Allocated_USD]] - tbl_EMDAT[[#This Row],[Actual_Spending_USD]]</f>
        <v>-150000</v>
      </c>
    </row>
    <row r="20" spans="1:21" x14ac:dyDescent="0.25">
      <c r="A20" s="1" t="s">
        <v>63</v>
      </c>
      <c r="B20">
        <v>2025</v>
      </c>
      <c r="C20" s="1" t="s">
        <v>22</v>
      </c>
      <c r="D20" s="1" t="s">
        <v>23</v>
      </c>
      <c r="E20" s="1" t="s">
        <v>30</v>
      </c>
      <c r="F20" s="1" t="s">
        <v>31</v>
      </c>
      <c r="G20" s="1" t="s">
        <v>32</v>
      </c>
      <c r="H20" s="1" t="s">
        <v>27</v>
      </c>
      <c r="I20">
        <v>10</v>
      </c>
      <c r="J20">
        <v>1027</v>
      </c>
      <c r="K20">
        <v>845000</v>
      </c>
      <c r="M20">
        <v>846027</v>
      </c>
      <c r="O20" s="1" t="s">
        <v>28</v>
      </c>
      <c r="P20">
        <v>3000000</v>
      </c>
      <c r="Q20">
        <v>3150000</v>
      </c>
      <c r="R20" s="4">
        <v>296109.45</v>
      </c>
      <c r="S20" s="2">
        <v>0.86</v>
      </c>
      <c r="T20" s="3">
        <f>IFERROR(tbl_EMDAT[[#This Row],[Actual_Spending_USD]]/tbl_EMDAT[[#This Row],[Beneficiaries_Served]], 0)</f>
        <v>10.637958363030966</v>
      </c>
      <c r="U20">
        <f>tbl_EMDAT[[#This Row],[Budget_Allocated_USD]] - tbl_EMDAT[[#This Row],[Actual_Spending_USD]]</f>
        <v>-150000</v>
      </c>
    </row>
    <row r="21" spans="1:21" x14ac:dyDescent="0.25">
      <c r="A21" s="1" t="s">
        <v>60</v>
      </c>
      <c r="B21">
        <v>2022</v>
      </c>
      <c r="C21" s="1" t="s">
        <v>22</v>
      </c>
      <c r="D21" s="1" t="s">
        <v>23</v>
      </c>
      <c r="E21" s="1" t="s">
        <v>24</v>
      </c>
      <c r="F21" s="1" t="s">
        <v>34</v>
      </c>
      <c r="G21" s="1" t="s">
        <v>35</v>
      </c>
      <c r="H21" s="1" t="s">
        <v>27</v>
      </c>
      <c r="I21">
        <v>70</v>
      </c>
      <c r="J21">
        <v>16</v>
      </c>
      <c r="K21">
        <v>600000</v>
      </c>
      <c r="M21">
        <v>600016</v>
      </c>
      <c r="N21">
        <v>11791</v>
      </c>
      <c r="O21" s="1" t="s">
        <v>28</v>
      </c>
      <c r="P21">
        <v>3000000</v>
      </c>
      <c r="Q21">
        <v>3150000</v>
      </c>
      <c r="R21" s="4">
        <v>240006.39999999999</v>
      </c>
      <c r="S21" s="2">
        <v>0.79</v>
      </c>
      <c r="T21" s="3">
        <f>IFERROR(tbl_EMDAT[[#This Row],[Actual_Spending_USD]]/tbl_EMDAT[[#This Row],[Beneficiaries_Served]], 0)</f>
        <v>13.124650009333084</v>
      </c>
      <c r="U21">
        <f>tbl_EMDAT[[#This Row],[Budget_Allocated_USD]] - tbl_EMDAT[[#This Row],[Actual_Spending_USD]]</f>
        <v>-150000</v>
      </c>
    </row>
    <row r="22" spans="1:21" x14ac:dyDescent="0.25">
      <c r="A22" s="1" t="s">
        <v>58</v>
      </c>
      <c r="B22">
        <v>2019</v>
      </c>
      <c r="C22" s="1" t="s">
        <v>22</v>
      </c>
      <c r="D22" s="1" t="s">
        <v>23</v>
      </c>
      <c r="E22" s="1" t="s">
        <v>30</v>
      </c>
      <c r="F22" s="1" t="s">
        <v>31</v>
      </c>
      <c r="G22" s="1" t="s">
        <v>32</v>
      </c>
      <c r="H22" s="1" t="s">
        <v>27</v>
      </c>
      <c r="I22">
        <v>14</v>
      </c>
      <c r="J22">
        <v>210</v>
      </c>
      <c r="K22">
        <v>394355</v>
      </c>
      <c r="M22">
        <v>394565</v>
      </c>
      <c r="O22" s="1" t="s">
        <v>28</v>
      </c>
      <c r="P22">
        <v>3000000</v>
      </c>
      <c r="Q22">
        <v>3150000</v>
      </c>
      <c r="R22" s="4">
        <v>138097.75</v>
      </c>
      <c r="S22" s="2">
        <v>0.88</v>
      </c>
      <c r="T22" s="3">
        <f>IFERROR(tbl_EMDAT[[#This Row],[Actual_Spending_USD]]/tbl_EMDAT[[#This Row],[Beneficiaries_Served]], 0)</f>
        <v>22.809929922826402</v>
      </c>
      <c r="U22">
        <f>tbl_EMDAT[[#This Row],[Budget_Allocated_USD]] - tbl_EMDAT[[#This Row],[Actual_Spending_USD]]</f>
        <v>-150000</v>
      </c>
    </row>
    <row r="23" spans="1:21" x14ac:dyDescent="0.25">
      <c r="A23" s="1" t="s">
        <v>108</v>
      </c>
      <c r="B23">
        <v>2023</v>
      </c>
      <c r="C23" s="1" t="s">
        <v>22</v>
      </c>
      <c r="D23" s="1" t="s">
        <v>23</v>
      </c>
      <c r="E23" s="1" t="s">
        <v>70</v>
      </c>
      <c r="F23" s="1" t="s">
        <v>75</v>
      </c>
      <c r="G23" s="1" t="s">
        <v>76</v>
      </c>
      <c r="H23" s="1" t="s">
        <v>27</v>
      </c>
      <c r="I23">
        <v>1</v>
      </c>
      <c r="J23">
        <v>1</v>
      </c>
      <c r="K23">
        <v>425866</v>
      </c>
      <c r="M23">
        <v>425867</v>
      </c>
      <c r="N23">
        <v>43</v>
      </c>
      <c r="O23" s="1" t="s">
        <v>73</v>
      </c>
      <c r="P23">
        <v>3000000</v>
      </c>
      <c r="Q23">
        <v>3150000</v>
      </c>
      <c r="R23" s="4">
        <v>127760.1</v>
      </c>
      <c r="S23" s="2">
        <v>0.83</v>
      </c>
      <c r="T23" s="3">
        <f>IFERROR(tbl_EMDAT[[#This Row],[Actual_Spending_USD]]/tbl_EMDAT[[#This Row],[Beneficiaries_Served]], 0)</f>
        <v>24.655584959623543</v>
      </c>
      <c r="U23">
        <f>tbl_EMDAT[[#This Row],[Budget_Allocated_USD]] - tbl_EMDAT[[#This Row],[Actual_Spending_USD]]</f>
        <v>-150000</v>
      </c>
    </row>
    <row r="24" spans="1:21" x14ac:dyDescent="0.25">
      <c r="A24" s="1" t="s">
        <v>103</v>
      </c>
      <c r="B24">
        <v>2024</v>
      </c>
      <c r="C24" s="1" t="s">
        <v>22</v>
      </c>
      <c r="D24" s="1" t="s">
        <v>23</v>
      </c>
      <c r="E24" s="1" t="s">
        <v>70</v>
      </c>
      <c r="F24" s="1" t="s">
        <v>75</v>
      </c>
      <c r="G24" s="1" t="s">
        <v>76</v>
      </c>
      <c r="H24" s="1" t="s">
        <v>27</v>
      </c>
      <c r="J24">
        <v>2</v>
      </c>
      <c r="K24">
        <v>310000</v>
      </c>
      <c r="M24">
        <v>310002</v>
      </c>
      <c r="N24">
        <v>10000</v>
      </c>
      <c r="O24" s="1" t="s">
        <v>73</v>
      </c>
      <c r="P24">
        <v>3000000</v>
      </c>
      <c r="Q24">
        <v>3150000</v>
      </c>
      <c r="R24" s="4">
        <v>77500.5</v>
      </c>
      <c r="S24" s="2">
        <v>0.8</v>
      </c>
      <c r="T24" s="3">
        <f>IFERROR(tbl_EMDAT[[#This Row],[Actual_Spending_USD]]/tbl_EMDAT[[#This Row],[Beneficiaries_Served]], 0)</f>
        <v>40.644899065167323</v>
      </c>
      <c r="U24">
        <f>tbl_EMDAT[[#This Row],[Budget_Allocated_USD]] - tbl_EMDAT[[#This Row],[Actual_Spending_USD]]</f>
        <v>-150000</v>
      </c>
    </row>
    <row r="25" spans="1:21" x14ac:dyDescent="0.25">
      <c r="A25" s="1" t="s">
        <v>105</v>
      </c>
      <c r="B25">
        <v>2025</v>
      </c>
      <c r="C25" s="1" t="s">
        <v>22</v>
      </c>
      <c r="D25" s="1" t="s">
        <v>23</v>
      </c>
      <c r="E25" s="1" t="s">
        <v>70</v>
      </c>
      <c r="F25" s="1" t="s">
        <v>75</v>
      </c>
      <c r="G25" s="1" t="s">
        <v>76</v>
      </c>
      <c r="H25" s="1" t="s">
        <v>27</v>
      </c>
      <c r="I25">
        <v>1</v>
      </c>
      <c r="K25">
        <v>314000</v>
      </c>
      <c r="M25">
        <v>314000</v>
      </c>
      <c r="O25" s="1" t="s">
        <v>73</v>
      </c>
      <c r="P25">
        <v>3000000</v>
      </c>
      <c r="Q25">
        <v>3150000</v>
      </c>
      <c r="R25" s="4">
        <v>62800</v>
      </c>
      <c r="S25" s="2">
        <v>0.75</v>
      </c>
      <c r="T25" s="3">
        <f>IFERROR(tbl_EMDAT[[#This Row],[Actual_Spending_USD]]/tbl_EMDAT[[#This Row],[Beneficiaries_Served]], 0)</f>
        <v>50.159235668789812</v>
      </c>
      <c r="U25">
        <f>tbl_EMDAT[[#This Row],[Budget_Allocated_USD]] - tbl_EMDAT[[#This Row],[Actual_Spending_USD]]</f>
        <v>-150000</v>
      </c>
    </row>
    <row r="26" spans="1:21" x14ac:dyDescent="0.25">
      <c r="A26" s="1" t="s">
        <v>97</v>
      </c>
      <c r="B26">
        <v>2023</v>
      </c>
      <c r="C26" s="1" t="s">
        <v>22</v>
      </c>
      <c r="D26" s="1" t="s">
        <v>23</v>
      </c>
      <c r="E26" s="1" t="s">
        <v>70</v>
      </c>
      <c r="F26" s="1" t="s">
        <v>75</v>
      </c>
      <c r="G26" s="1" t="s">
        <v>76</v>
      </c>
      <c r="H26" s="1" t="s">
        <v>27</v>
      </c>
      <c r="K26">
        <v>136149</v>
      </c>
      <c r="M26">
        <v>136149</v>
      </c>
      <c r="N26">
        <v>229</v>
      </c>
      <c r="O26" s="1" t="s">
        <v>73</v>
      </c>
      <c r="P26">
        <v>2000000</v>
      </c>
      <c r="Q26">
        <v>2100000</v>
      </c>
      <c r="R26" s="4">
        <v>47652.15</v>
      </c>
      <c r="S26" s="2">
        <v>0.79</v>
      </c>
      <c r="T26" s="3">
        <f>IFERROR(tbl_EMDAT[[#This Row],[Actual_Spending_USD]]/tbl_EMDAT[[#This Row],[Beneficiaries_Served]], 0)</f>
        <v>44.06936518079457</v>
      </c>
      <c r="U26">
        <f>tbl_EMDAT[[#This Row],[Budget_Allocated_USD]] - tbl_EMDAT[[#This Row],[Actual_Spending_USD]]</f>
        <v>-100000</v>
      </c>
    </row>
    <row r="27" spans="1:21" x14ac:dyDescent="0.25">
      <c r="A27" s="1" t="s">
        <v>53</v>
      </c>
      <c r="B27">
        <v>2025</v>
      </c>
      <c r="C27" s="1" t="s">
        <v>22</v>
      </c>
      <c r="D27" s="1" t="s">
        <v>23</v>
      </c>
      <c r="E27" s="1" t="s">
        <v>24</v>
      </c>
      <c r="F27" s="1" t="s">
        <v>34</v>
      </c>
      <c r="G27" s="1" t="s">
        <v>35</v>
      </c>
      <c r="H27" s="1" t="s">
        <v>27</v>
      </c>
      <c r="I27">
        <v>7</v>
      </c>
      <c r="K27">
        <v>123000</v>
      </c>
      <c r="M27">
        <v>123000</v>
      </c>
      <c r="O27" s="1" t="s">
        <v>28</v>
      </c>
      <c r="P27">
        <v>2000000</v>
      </c>
      <c r="Q27">
        <v>2100000</v>
      </c>
      <c r="R27" s="4">
        <v>43050</v>
      </c>
      <c r="S27" s="2">
        <v>0.85</v>
      </c>
      <c r="T27" s="3">
        <f>IFERROR(tbl_EMDAT[[#This Row],[Actual_Spending_USD]]/tbl_EMDAT[[#This Row],[Beneficiaries_Served]], 0)</f>
        <v>48.780487804878049</v>
      </c>
      <c r="U27">
        <f>tbl_EMDAT[[#This Row],[Budget_Allocated_USD]] - tbl_EMDAT[[#This Row],[Actual_Spending_USD]]</f>
        <v>-100000</v>
      </c>
    </row>
    <row r="28" spans="1:21" x14ac:dyDescent="0.25">
      <c r="A28" s="1" t="s">
        <v>144</v>
      </c>
      <c r="B28">
        <v>2025</v>
      </c>
      <c r="C28" s="1" t="s">
        <v>22</v>
      </c>
      <c r="D28" s="1" t="s">
        <v>23</v>
      </c>
      <c r="E28" s="1" t="s">
        <v>30</v>
      </c>
      <c r="F28" s="1" t="s">
        <v>134</v>
      </c>
      <c r="G28" s="1" t="s">
        <v>143</v>
      </c>
      <c r="H28" s="1" t="s">
        <v>27</v>
      </c>
      <c r="K28">
        <v>110000</v>
      </c>
      <c r="M28">
        <v>110000</v>
      </c>
      <c r="O28" s="1" t="s">
        <v>136</v>
      </c>
      <c r="P28">
        <v>2000000</v>
      </c>
      <c r="Q28">
        <v>2100000</v>
      </c>
      <c r="R28" s="4">
        <v>27500</v>
      </c>
      <c r="S28" s="2">
        <v>0.8</v>
      </c>
      <c r="T28" s="3">
        <f>IFERROR(tbl_EMDAT[[#This Row],[Actual_Spending_USD]]/tbl_EMDAT[[#This Row],[Beneficiaries_Served]], 0)</f>
        <v>76.36363636363636</v>
      </c>
      <c r="U28">
        <f>tbl_EMDAT[[#This Row],[Budget_Allocated_USD]] - tbl_EMDAT[[#This Row],[Actual_Spending_USD]]</f>
        <v>-100000</v>
      </c>
    </row>
    <row r="29" spans="1:21" x14ac:dyDescent="0.25">
      <c r="A29" s="1" t="s">
        <v>51</v>
      </c>
      <c r="B29">
        <v>2019</v>
      </c>
      <c r="C29" s="1" t="s">
        <v>22</v>
      </c>
      <c r="D29" s="1" t="s">
        <v>23</v>
      </c>
      <c r="E29" s="1" t="s">
        <v>24</v>
      </c>
      <c r="F29" s="1" t="s">
        <v>34</v>
      </c>
      <c r="G29" s="1" t="s">
        <v>35</v>
      </c>
      <c r="H29" s="1" t="s">
        <v>27</v>
      </c>
      <c r="K29">
        <v>45000</v>
      </c>
      <c r="M29">
        <v>45000</v>
      </c>
      <c r="O29" s="1" t="s">
        <v>28</v>
      </c>
      <c r="P29">
        <v>1000000</v>
      </c>
      <c r="Q29">
        <v>1100000</v>
      </c>
      <c r="R29" s="4">
        <v>13500</v>
      </c>
      <c r="S29" s="2">
        <v>0.8</v>
      </c>
      <c r="T29" s="3">
        <f>IFERROR(tbl_EMDAT[[#This Row],[Actual_Spending_USD]]/tbl_EMDAT[[#This Row],[Beneficiaries_Served]], 0)</f>
        <v>81.481481481481481</v>
      </c>
      <c r="U29">
        <f>tbl_EMDAT[[#This Row],[Budget_Allocated_USD]] - tbl_EMDAT[[#This Row],[Actual_Spending_USD]]</f>
        <v>-100000</v>
      </c>
    </row>
    <row r="30" spans="1:21" x14ac:dyDescent="0.25">
      <c r="A30" s="1" t="s">
        <v>90</v>
      </c>
      <c r="B30">
        <v>2020</v>
      </c>
      <c r="C30" s="1" t="s">
        <v>22</v>
      </c>
      <c r="D30" s="1" t="s">
        <v>23</v>
      </c>
      <c r="E30" s="1" t="s">
        <v>70</v>
      </c>
      <c r="F30" s="1" t="s">
        <v>75</v>
      </c>
      <c r="G30" s="1" t="s">
        <v>76</v>
      </c>
      <c r="H30" s="1" t="s">
        <v>27</v>
      </c>
      <c r="I30">
        <v>9</v>
      </c>
      <c r="J30">
        <v>2</v>
      </c>
      <c r="K30">
        <v>36030</v>
      </c>
      <c r="M30">
        <v>36032</v>
      </c>
      <c r="N30">
        <v>2779</v>
      </c>
      <c r="O30" s="1" t="s">
        <v>73</v>
      </c>
      <c r="P30">
        <v>1000000</v>
      </c>
      <c r="Q30">
        <v>1100000</v>
      </c>
      <c r="R30" s="4">
        <v>12611.2</v>
      </c>
      <c r="S30" s="2">
        <v>0.76</v>
      </c>
      <c r="T30" s="3">
        <f>IFERROR(tbl_EMDAT[[#This Row],[Actual_Spending_USD]]/tbl_EMDAT[[#This Row],[Beneficiaries_Served]], 0)</f>
        <v>87.224054808424256</v>
      </c>
      <c r="U30">
        <f>tbl_EMDAT[[#This Row],[Budget_Allocated_USD]] - tbl_EMDAT[[#This Row],[Actual_Spending_USD]]</f>
        <v>-100000</v>
      </c>
    </row>
    <row r="31" spans="1:21" x14ac:dyDescent="0.25">
      <c r="A31" s="1" t="s">
        <v>49</v>
      </c>
      <c r="B31">
        <v>2023</v>
      </c>
      <c r="C31" s="1" t="s">
        <v>22</v>
      </c>
      <c r="D31" s="1" t="s">
        <v>23</v>
      </c>
      <c r="E31" s="1" t="s">
        <v>24</v>
      </c>
      <c r="F31" s="1" t="s">
        <v>34</v>
      </c>
      <c r="G31" s="1" t="s">
        <v>35</v>
      </c>
      <c r="H31" s="1" t="s">
        <v>27</v>
      </c>
      <c r="I31">
        <v>15</v>
      </c>
      <c r="K31">
        <v>32764</v>
      </c>
      <c r="M31">
        <v>32764</v>
      </c>
      <c r="N31">
        <v>5147</v>
      </c>
      <c r="O31" s="1" t="s">
        <v>28</v>
      </c>
      <c r="P31">
        <v>1000000</v>
      </c>
      <c r="Q31">
        <v>1100000</v>
      </c>
      <c r="R31" s="4">
        <v>9829.2000000000007</v>
      </c>
      <c r="S31" s="2">
        <v>0.8</v>
      </c>
      <c r="T31" s="3">
        <f>IFERROR(tbl_EMDAT[[#This Row],[Actual_Spending_USD]]/tbl_EMDAT[[#This Row],[Beneficiaries_Served]], 0)</f>
        <v>111.91144752370487</v>
      </c>
      <c r="U31">
        <f>tbl_EMDAT[[#This Row],[Budget_Allocated_USD]] - tbl_EMDAT[[#This Row],[Actual_Spending_USD]]</f>
        <v>-100000</v>
      </c>
    </row>
    <row r="32" spans="1:21" x14ac:dyDescent="0.25">
      <c r="A32" s="1" t="s">
        <v>91</v>
      </c>
      <c r="B32">
        <v>2021</v>
      </c>
      <c r="C32" s="1" t="s">
        <v>22</v>
      </c>
      <c r="D32" s="1" t="s">
        <v>23</v>
      </c>
      <c r="E32" s="1" t="s">
        <v>70</v>
      </c>
      <c r="F32" s="1" t="s">
        <v>75</v>
      </c>
      <c r="G32" s="1" t="s">
        <v>92</v>
      </c>
      <c r="H32" s="1" t="s">
        <v>27</v>
      </c>
      <c r="I32">
        <v>6</v>
      </c>
      <c r="K32">
        <v>37830</v>
      </c>
      <c r="M32">
        <v>37830</v>
      </c>
      <c r="O32" s="1" t="s">
        <v>73</v>
      </c>
      <c r="P32">
        <v>1000000</v>
      </c>
      <c r="Q32">
        <v>1100000</v>
      </c>
      <c r="R32" s="4">
        <v>9457.5</v>
      </c>
      <c r="S32" s="2">
        <v>0.83</v>
      </c>
      <c r="T32" s="3">
        <f>IFERROR(tbl_EMDAT[[#This Row],[Actual_Spending_USD]]/tbl_EMDAT[[#This Row],[Beneficiaries_Served]], 0)</f>
        <v>116.30980703145651</v>
      </c>
      <c r="U32">
        <f>tbl_EMDAT[[#This Row],[Budget_Allocated_USD]] - tbl_EMDAT[[#This Row],[Actual_Spending_USD]]</f>
        <v>-100000</v>
      </c>
    </row>
    <row r="33" spans="1:21" x14ac:dyDescent="0.25">
      <c r="A33" s="1" t="s">
        <v>50</v>
      </c>
      <c r="B33">
        <v>2021</v>
      </c>
      <c r="C33" s="1" t="s">
        <v>22</v>
      </c>
      <c r="D33" s="1" t="s">
        <v>23</v>
      </c>
      <c r="E33" s="1" t="s">
        <v>24</v>
      </c>
      <c r="F33" s="1" t="s">
        <v>34</v>
      </c>
      <c r="G33" s="1" t="s">
        <v>37</v>
      </c>
      <c r="H33" s="1" t="s">
        <v>27</v>
      </c>
      <c r="I33">
        <v>2</v>
      </c>
      <c r="K33">
        <v>38160</v>
      </c>
      <c r="M33">
        <v>38160</v>
      </c>
      <c r="N33">
        <v>28941</v>
      </c>
      <c r="O33" s="1" t="s">
        <v>28</v>
      </c>
      <c r="P33">
        <v>1000000</v>
      </c>
      <c r="Q33">
        <v>1050000</v>
      </c>
      <c r="R33" s="4">
        <v>11448</v>
      </c>
      <c r="S33" s="2">
        <v>0.75</v>
      </c>
      <c r="T33" s="3">
        <f>IFERROR(tbl_EMDAT[[#This Row],[Actual_Spending_USD]]/tbl_EMDAT[[#This Row],[Beneficiaries_Served]], 0)</f>
        <v>91.719077568134168</v>
      </c>
      <c r="U33">
        <f>tbl_EMDAT[[#This Row],[Budget_Allocated_USD]] - tbl_EMDAT[[#This Row],[Actual_Spending_USD]]</f>
        <v>-50000</v>
      </c>
    </row>
    <row r="34" spans="1:21" x14ac:dyDescent="0.25">
      <c r="A34" s="1" t="s">
        <v>48</v>
      </c>
      <c r="B34">
        <v>2019</v>
      </c>
      <c r="C34" s="1" t="s">
        <v>22</v>
      </c>
      <c r="D34" s="1" t="s">
        <v>23</v>
      </c>
      <c r="E34" s="1" t="s">
        <v>30</v>
      </c>
      <c r="F34" s="1" t="s">
        <v>31</v>
      </c>
      <c r="G34" s="1" t="s">
        <v>32</v>
      </c>
      <c r="H34" s="1" t="s">
        <v>27</v>
      </c>
      <c r="I34">
        <v>10</v>
      </c>
      <c r="J34">
        <v>395</v>
      </c>
      <c r="K34">
        <v>25630</v>
      </c>
      <c r="M34">
        <v>26025</v>
      </c>
      <c r="O34" s="1" t="s">
        <v>28</v>
      </c>
      <c r="P34">
        <v>1000000</v>
      </c>
      <c r="Q34">
        <v>1050000</v>
      </c>
      <c r="R34" s="4">
        <v>7807.5</v>
      </c>
      <c r="S34" s="2">
        <v>0.85</v>
      </c>
      <c r="T34" s="3">
        <f>IFERROR(tbl_EMDAT[[#This Row],[Actual_Spending_USD]]/tbl_EMDAT[[#This Row],[Beneficiaries_Served]], 0)</f>
        <v>134.48607108549473</v>
      </c>
      <c r="U34">
        <f>tbl_EMDAT[[#This Row],[Budget_Allocated_USD]] - tbl_EMDAT[[#This Row],[Actual_Spending_USD]]</f>
        <v>-50000</v>
      </c>
    </row>
    <row r="35" spans="1:21" x14ac:dyDescent="0.25">
      <c r="A35" s="1" t="s">
        <v>140</v>
      </c>
      <c r="B35">
        <v>2023</v>
      </c>
      <c r="C35" s="1" t="s">
        <v>22</v>
      </c>
      <c r="D35" s="1" t="s">
        <v>23</v>
      </c>
      <c r="E35" s="1" t="s">
        <v>30</v>
      </c>
      <c r="F35" s="1" t="s">
        <v>134</v>
      </c>
      <c r="G35" s="1" t="s">
        <v>141</v>
      </c>
      <c r="H35" s="1" t="s">
        <v>27</v>
      </c>
      <c r="J35">
        <v>628</v>
      </c>
      <c r="K35">
        <v>38396</v>
      </c>
      <c r="M35">
        <v>39024</v>
      </c>
      <c r="O35" s="1" t="s">
        <v>136</v>
      </c>
      <c r="P35">
        <v>1000000</v>
      </c>
      <c r="Q35">
        <v>1050000</v>
      </c>
      <c r="R35" s="4">
        <v>7804.8</v>
      </c>
      <c r="S35" s="2">
        <v>0.65</v>
      </c>
      <c r="T35" s="3">
        <f>IFERROR(tbl_EMDAT[[#This Row],[Actual_Spending_USD]]/tbl_EMDAT[[#This Row],[Beneficiaries_Served]], 0)</f>
        <v>134.53259532595325</v>
      </c>
      <c r="U35">
        <f>tbl_EMDAT[[#This Row],[Budget_Allocated_USD]] - tbl_EMDAT[[#This Row],[Actual_Spending_USD]]</f>
        <v>-50000</v>
      </c>
    </row>
    <row r="36" spans="1:21" x14ac:dyDescent="0.25">
      <c r="A36" s="1" t="s">
        <v>138</v>
      </c>
      <c r="B36">
        <v>2024</v>
      </c>
      <c r="C36" s="1" t="s">
        <v>22</v>
      </c>
      <c r="D36" s="1" t="s">
        <v>23</v>
      </c>
      <c r="E36" s="1" t="s">
        <v>30</v>
      </c>
      <c r="F36" s="1" t="s">
        <v>134</v>
      </c>
      <c r="G36" s="1" t="s">
        <v>139</v>
      </c>
      <c r="H36" s="1" t="s">
        <v>27</v>
      </c>
      <c r="K36">
        <v>29137</v>
      </c>
      <c r="M36">
        <v>29137</v>
      </c>
      <c r="O36" s="1" t="s">
        <v>136</v>
      </c>
      <c r="P36">
        <v>1000000</v>
      </c>
      <c r="Q36">
        <v>1050000</v>
      </c>
      <c r="R36" s="4">
        <v>7284.25</v>
      </c>
      <c r="S36" s="2">
        <v>0.79</v>
      </c>
      <c r="T36" s="3">
        <f>IFERROR(tbl_EMDAT[[#This Row],[Actual_Spending_USD]]/tbl_EMDAT[[#This Row],[Beneficiaries_Served]], 0)</f>
        <v>144.14661770257749</v>
      </c>
      <c r="U36">
        <f>tbl_EMDAT[[#This Row],[Budget_Allocated_USD]] - tbl_EMDAT[[#This Row],[Actual_Spending_USD]]</f>
        <v>-50000</v>
      </c>
    </row>
    <row r="37" spans="1:21" x14ac:dyDescent="0.25">
      <c r="A37" s="1" t="s">
        <v>137</v>
      </c>
      <c r="B37">
        <v>2021</v>
      </c>
      <c r="C37" s="1" t="s">
        <v>22</v>
      </c>
      <c r="D37" s="1" t="s">
        <v>23</v>
      </c>
      <c r="E37" s="1" t="s">
        <v>30</v>
      </c>
      <c r="F37" s="1" t="s">
        <v>134</v>
      </c>
      <c r="G37" s="1" t="s">
        <v>135</v>
      </c>
      <c r="H37" s="1" t="s">
        <v>27</v>
      </c>
      <c r="K37">
        <v>22433</v>
      </c>
      <c r="M37">
        <v>22433</v>
      </c>
      <c r="O37" s="1" t="s">
        <v>136</v>
      </c>
      <c r="P37">
        <v>1000000</v>
      </c>
      <c r="Q37">
        <v>1050000</v>
      </c>
      <c r="R37" s="4">
        <v>6729.9</v>
      </c>
      <c r="S37" s="2">
        <v>0.75</v>
      </c>
      <c r="T37" s="3">
        <f>IFERROR(tbl_EMDAT[[#This Row],[Actual_Spending_USD]]/tbl_EMDAT[[#This Row],[Beneficiaries_Served]], 0)</f>
        <v>156.02014888779922</v>
      </c>
      <c r="U37">
        <f>tbl_EMDAT[[#This Row],[Budget_Allocated_USD]] - tbl_EMDAT[[#This Row],[Actual_Spending_USD]]</f>
        <v>-50000</v>
      </c>
    </row>
    <row r="38" spans="1:21" x14ac:dyDescent="0.25">
      <c r="A38" s="1" t="s">
        <v>86</v>
      </c>
      <c r="B38">
        <v>2021</v>
      </c>
      <c r="C38" s="1" t="s">
        <v>22</v>
      </c>
      <c r="D38" s="1" t="s">
        <v>23</v>
      </c>
      <c r="E38" s="1" t="s">
        <v>70</v>
      </c>
      <c r="F38" s="1" t="s">
        <v>75</v>
      </c>
      <c r="G38" s="1" t="s">
        <v>76</v>
      </c>
      <c r="H38" s="1" t="s">
        <v>27</v>
      </c>
      <c r="I38">
        <v>9</v>
      </c>
      <c r="K38">
        <v>15000</v>
      </c>
      <c r="M38">
        <v>15000</v>
      </c>
      <c r="N38">
        <v>23153</v>
      </c>
      <c r="O38" s="1" t="s">
        <v>73</v>
      </c>
      <c r="P38">
        <v>1000000</v>
      </c>
      <c r="Q38">
        <v>1050000</v>
      </c>
      <c r="R38" s="4">
        <v>5250</v>
      </c>
      <c r="S38" s="2">
        <v>0.82</v>
      </c>
      <c r="T38" s="3">
        <f>IFERROR(tbl_EMDAT[[#This Row],[Actual_Spending_USD]]/tbl_EMDAT[[#This Row],[Beneficiaries_Served]], 0)</f>
        <v>200</v>
      </c>
      <c r="U38">
        <f>tbl_EMDAT[[#This Row],[Budget_Allocated_USD]] - tbl_EMDAT[[#This Row],[Actual_Spending_USD]]</f>
        <v>-50000</v>
      </c>
    </row>
    <row r="39" spans="1:21" x14ac:dyDescent="0.25">
      <c r="A39" s="1" t="s">
        <v>87</v>
      </c>
      <c r="B39">
        <v>2025</v>
      </c>
      <c r="C39" s="1" t="s">
        <v>22</v>
      </c>
      <c r="D39" s="1" t="s">
        <v>23</v>
      </c>
      <c r="E39" s="1" t="s">
        <v>70</v>
      </c>
      <c r="F39" s="1" t="s">
        <v>75</v>
      </c>
      <c r="G39" s="1" t="s">
        <v>76</v>
      </c>
      <c r="H39" s="1" t="s">
        <v>27</v>
      </c>
      <c r="I39">
        <v>3</v>
      </c>
      <c r="J39">
        <v>1</v>
      </c>
      <c r="K39">
        <v>17516</v>
      </c>
      <c r="M39">
        <v>17517</v>
      </c>
      <c r="O39" s="1" t="s">
        <v>73</v>
      </c>
      <c r="P39">
        <v>1000000</v>
      </c>
      <c r="Q39">
        <v>1050000</v>
      </c>
      <c r="R39" s="4">
        <v>4379.25</v>
      </c>
      <c r="S39" s="2">
        <v>0.76</v>
      </c>
      <c r="T39" s="3">
        <f>IFERROR(tbl_EMDAT[[#This Row],[Actual_Spending_USD]]/tbl_EMDAT[[#This Row],[Beneficiaries_Served]], 0)</f>
        <v>239.76708340469258</v>
      </c>
      <c r="U39">
        <f>tbl_EMDAT[[#This Row],[Budget_Allocated_USD]] - tbl_EMDAT[[#This Row],[Actual_Spending_USD]]</f>
        <v>-50000</v>
      </c>
    </row>
    <row r="40" spans="1:21" x14ac:dyDescent="0.25">
      <c r="A40" s="1" t="s">
        <v>43</v>
      </c>
      <c r="B40">
        <v>2022</v>
      </c>
      <c r="C40" s="1" t="s">
        <v>22</v>
      </c>
      <c r="D40" s="1" t="s">
        <v>23</v>
      </c>
      <c r="E40" s="1" t="s">
        <v>24</v>
      </c>
      <c r="F40" s="1" t="s">
        <v>25</v>
      </c>
      <c r="G40" s="1" t="s">
        <v>26</v>
      </c>
      <c r="H40" s="1" t="s">
        <v>27</v>
      </c>
      <c r="I40">
        <v>5</v>
      </c>
      <c r="K40">
        <v>11712</v>
      </c>
      <c r="M40">
        <v>11712</v>
      </c>
      <c r="O40" s="1" t="s">
        <v>28</v>
      </c>
      <c r="P40">
        <v>1000000</v>
      </c>
      <c r="Q40">
        <v>1050000</v>
      </c>
      <c r="R40" s="4">
        <v>3513.6</v>
      </c>
      <c r="S40" s="2">
        <v>0.8</v>
      </c>
      <c r="T40" s="3">
        <f>IFERROR(tbl_EMDAT[[#This Row],[Actual_Spending_USD]]/tbl_EMDAT[[#This Row],[Beneficiaries_Served]], 0)</f>
        <v>298.83879781420768</v>
      </c>
      <c r="U40">
        <f>tbl_EMDAT[[#This Row],[Budget_Allocated_USD]] - tbl_EMDAT[[#This Row],[Actual_Spending_USD]]</f>
        <v>-50000</v>
      </c>
    </row>
    <row r="41" spans="1:21" x14ac:dyDescent="0.25">
      <c r="A41" s="1" t="s">
        <v>83</v>
      </c>
      <c r="B41">
        <v>2022</v>
      </c>
      <c r="C41" s="1" t="s">
        <v>22</v>
      </c>
      <c r="D41" s="1" t="s">
        <v>23</v>
      </c>
      <c r="E41" s="1" t="s">
        <v>70</v>
      </c>
      <c r="F41" s="1" t="s">
        <v>75</v>
      </c>
      <c r="G41" s="1" t="s">
        <v>76</v>
      </c>
      <c r="H41" s="1" t="s">
        <v>27</v>
      </c>
      <c r="K41">
        <v>7616</v>
      </c>
      <c r="M41">
        <v>7616</v>
      </c>
      <c r="O41" s="1" t="s">
        <v>73</v>
      </c>
      <c r="P41">
        <v>500000</v>
      </c>
      <c r="Q41">
        <v>525000</v>
      </c>
      <c r="R41" s="4">
        <v>1904</v>
      </c>
      <c r="S41" s="2">
        <v>0.76</v>
      </c>
      <c r="T41" s="3">
        <f>IFERROR(tbl_EMDAT[[#This Row],[Actual_Spending_USD]]/tbl_EMDAT[[#This Row],[Beneficiaries_Served]], 0)</f>
        <v>275.73529411764707</v>
      </c>
      <c r="U41">
        <f>tbl_EMDAT[[#This Row],[Budget_Allocated_USD]] - tbl_EMDAT[[#This Row],[Actual_Spending_USD]]</f>
        <v>-25000</v>
      </c>
    </row>
    <row r="42" spans="1:21" x14ac:dyDescent="0.25">
      <c r="A42" s="1" t="s">
        <v>41</v>
      </c>
      <c r="B42">
        <v>2020</v>
      </c>
      <c r="C42" s="1" t="s">
        <v>22</v>
      </c>
      <c r="D42" s="1" t="s">
        <v>23</v>
      </c>
      <c r="E42" s="1" t="s">
        <v>30</v>
      </c>
      <c r="F42" s="1" t="s">
        <v>31</v>
      </c>
      <c r="G42" s="1" t="s">
        <v>32</v>
      </c>
      <c r="H42" s="1" t="s">
        <v>27</v>
      </c>
      <c r="I42">
        <v>1</v>
      </c>
      <c r="J42">
        <v>20</v>
      </c>
      <c r="K42">
        <v>4255</v>
      </c>
      <c r="L42">
        <v>705</v>
      </c>
      <c r="M42">
        <v>4980</v>
      </c>
      <c r="N42">
        <v>3030</v>
      </c>
      <c r="O42" s="1" t="s">
        <v>28</v>
      </c>
      <c r="P42">
        <v>500000</v>
      </c>
      <c r="Q42">
        <v>525000</v>
      </c>
      <c r="R42" s="4">
        <v>1494</v>
      </c>
      <c r="S42" s="2">
        <v>0.78</v>
      </c>
      <c r="T42" s="3">
        <f>IFERROR(tbl_EMDAT[[#This Row],[Actual_Spending_USD]]/tbl_EMDAT[[#This Row],[Beneficiaries_Served]], 0)</f>
        <v>351.40562248995985</v>
      </c>
      <c r="U42">
        <f>tbl_EMDAT[[#This Row],[Budget_Allocated_USD]] - tbl_EMDAT[[#This Row],[Actual_Spending_USD]]</f>
        <v>-25000</v>
      </c>
    </row>
    <row r="43" spans="1:21" x14ac:dyDescent="0.25">
      <c r="A43" s="1" t="s">
        <v>39</v>
      </c>
      <c r="B43">
        <v>2021</v>
      </c>
      <c r="C43" s="1" t="s">
        <v>22</v>
      </c>
      <c r="D43" s="1" t="s">
        <v>23</v>
      </c>
      <c r="E43" s="1" t="s">
        <v>24</v>
      </c>
      <c r="F43" s="1" t="s">
        <v>34</v>
      </c>
      <c r="G43" s="1" t="s">
        <v>35</v>
      </c>
      <c r="H43" s="1" t="s">
        <v>27</v>
      </c>
      <c r="K43">
        <v>3280</v>
      </c>
      <c r="M43">
        <v>3280</v>
      </c>
      <c r="O43" s="1" t="s">
        <v>28</v>
      </c>
      <c r="P43">
        <v>500000</v>
      </c>
      <c r="Q43">
        <v>525000</v>
      </c>
      <c r="R43" s="4">
        <v>984</v>
      </c>
      <c r="S43" s="2">
        <v>0.8</v>
      </c>
      <c r="T43" s="3">
        <f>IFERROR(tbl_EMDAT[[#This Row],[Actual_Spending_USD]]/tbl_EMDAT[[#This Row],[Beneficiaries_Served]], 0)</f>
        <v>533.53658536585363</v>
      </c>
      <c r="U43">
        <f>tbl_EMDAT[[#This Row],[Budget_Allocated_USD]] - tbl_EMDAT[[#This Row],[Actual_Spending_USD]]</f>
        <v>-25000</v>
      </c>
    </row>
    <row r="44" spans="1:21" x14ac:dyDescent="0.25">
      <c r="A44" s="1" t="s">
        <v>38</v>
      </c>
      <c r="B44">
        <v>2019</v>
      </c>
      <c r="C44" s="1" t="s">
        <v>22</v>
      </c>
      <c r="D44" s="1" t="s">
        <v>23</v>
      </c>
      <c r="E44" s="1" t="s">
        <v>30</v>
      </c>
      <c r="F44" s="1" t="s">
        <v>31</v>
      </c>
      <c r="G44" s="1" t="s">
        <v>32</v>
      </c>
      <c r="H44" s="1" t="s">
        <v>27</v>
      </c>
      <c r="I44">
        <v>9</v>
      </c>
      <c r="J44">
        <v>64</v>
      </c>
      <c r="K44">
        <v>2963</v>
      </c>
      <c r="M44">
        <v>3027</v>
      </c>
      <c r="N44">
        <v>6452</v>
      </c>
      <c r="O44" s="1" t="s">
        <v>28</v>
      </c>
      <c r="P44">
        <v>500000</v>
      </c>
      <c r="Q44">
        <v>525000</v>
      </c>
      <c r="R44" s="4">
        <v>908.1</v>
      </c>
      <c r="S44" s="2">
        <v>0.75</v>
      </c>
      <c r="T44" s="3">
        <f>IFERROR(tbl_EMDAT[[#This Row],[Actual_Spending_USD]]/tbl_EMDAT[[#This Row],[Beneficiaries_Served]], 0)</f>
        <v>578.1301618764453</v>
      </c>
      <c r="U44">
        <f>tbl_EMDAT[[#This Row],[Budget_Allocated_USD]] - tbl_EMDAT[[#This Row],[Actual_Spending_USD]]</f>
        <v>-25000</v>
      </c>
    </row>
    <row r="45" spans="1:21" x14ac:dyDescent="0.25">
      <c r="A45" s="1" t="s">
        <v>80</v>
      </c>
      <c r="B45">
        <v>2019</v>
      </c>
      <c r="C45" s="1" t="s">
        <v>22</v>
      </c>
      <c r="D45" s="1" t="s">
        <v>23</v>
      </c>
      <c r="E45" s="1" t="s">
        <v>70</v>
      </c>
      <c r="F45" s="1" t="s">
        <v>75</v>
      </c>
      <c r="G45" s="1" t="s">
        <v>76</v>
      </c>
      <c r="H45" s="1" t="s">
        <v>27</v>
      </c>
      <c r="I45">
        <v>4</v>
      </c>
      <c r="K45">
        <v>2000</v>
      </c>
      <c r="M45">
        <v>2000</v>
      </c>
      <c r="N45">
        <v>463115</v>
      </c>
      <c r="O45" s="1" t="s">
        <v>73</v>
      </c>
      <c r="P45">
        <v>500000</v>
      </c>
      <c r="Q45">
        <v>525000</v>
      </c>
      <c r="R45" s="4">
        <v>600</v>
      </c>
      <c r="S45" s="2">
        <v>0.8</v>
      </c>
      <c r="T45" s="3">
        <f>IFERROR(tbl_EMDAT[[#This Row],[Actual_Spending_USD]]/tbl_EMDAT[[#This Row],[Beneficiaries_Served]], 0)</f>
        <v>875</v>
      </c>
      <c r="U45">
        <f>tbl_EMDAT[[#This Row],[Budget_Allocated_USD]] - tbl_EMDAT[[#This Row],[Actual_Spending_USD]]</f>
        <v>-25000</v>
      </c>
    </row>
    <row r="46" spans="1:21" x14ac:dyDescent="0.25">
      <c r="A46" s="1" t="s">
        <v>79</v>
      </c>
      <c r="B46">
        <v>2019</v>
      </c>
      <c r="C46" s="1" t="s">
        <v>22</v>
      </c>
      <c r="D46" s="1" t="s">
        <v>23</v>
      </c>
      <c r="E46" s="1" t="s">
        <v>70</v>
      </c>
      <c r="F46" s="1" t="s">
        <v>75</v>
      </c>
      <c r="G46" s="1" t="s">
        <v>76</v>
      </c>
      <c r="H46" s="1" t="s">
        <v>27</v>
      </c>
      <c r="I46">
        <v>19</v>
      </c>
      <c r="J46">
        <v>3</v>
      </c>
      <c r="K46">
        <v>670</v>
      </c>
      <c r="M46">
        <v>673</v>
      </c>
      <c r="N46">
        <v>44172</v>
      </c>
      <c r="O46" s="1" t="s">
        <v>73</v>
      </c>
      <c r="P46">
        <v>500000</v>
      </c>
      <c r="Q46">
        <v>525000</v>
      </c>
      <c r="R46" s="4">
        <v>235.55</v>
      </c>
      <c r="S46" s="2">
        <v>0.8</v>
      </c>
      <c r="T46" s="3">
        <f>IFERROR(tbl_EMDAT[[#This Row],[Actual_Spending_USD]]/tbl_EMDAT[[#This Row],[Beneficiaries_Served]], 0)</f>
        <v>2228.826151560178</v>
      </c>
      <c r="U46">
        <f>tbl_EMDAT[[#This Row],[Budget_Allocated_USD]] - tbl_EMDAT[[#This Row],[Actual_Spending_USD]]</f>
        <v>-25000</v>
      </c>
    </row>
    <row r="47" spans="1:21" x14ac:dyDescent="0.25">
      <c r="A47" s="1" t="s">
        <v>78</v>
      </c>
      <c r="B47">
        <v>2023</v>
      </c>
      <c r="C47" s="1" t="s">
        <v>22</v>
      </c>
      <c r="D47" s="1" t="s">
        <v>23</v>
      </c>
      <c r="E47" s="1" t="s">
        <v>70</v>
      </c>
      <c r="F47" s="1" t="s">
        <v>75</v>
      </c>
      <c r="G47" s="1" t="s">
        <v>76</v>
      </c>
      <c r="H47" s="1" t="s">
        <v>27</v>
      </c>
      <c r="I47">
        <v>2</v>
      </c>
      <c r="K47">
        <v>450</v>
      </c>
      <c r="M47">
        <v>450</v>
      </c>
      <c r="O47" s="1" t="s">
        <v>73</v>
      </c>
      <c r="P47">
        <v>500000</v>
      </c>
      <c r="Q47">
        <v>525000</v>
      </c>
      <c r="R47" s="4">
        <v>135</v>
      </c>
      <c r="S47" s="2">
        <v>0.79</v>
      </c>
      <c r="T47" s="3">
        <f>IFERROR(tbl_EMDAT[[#This Row],[Actual_Spending_USD]]/tbl_EMDAT[[#This Row],[Beneficiaries_Served]], 0)</f>
        <v>3888.8888888888887</v>
      </c>
      <c r="U47">
        <f>tbl_EMDAT[[#This Row],[Budget_Allocated_USD]] - tbl_EMDAT[[#This Row],[Actual_Spending_USD]]</f>
        <v>-25000</v>
      </c>
    </row>
    <row r="48" spans="1:21" x14ac:dyDescent="0.25">
      <c r="A48" s="1" t="s">
        <v>128</v>
      </c>
      <c r="B48">
        <v>2024</v>
      </c>
      <c r="C48" s="1" t="s">
        <v>22</v>
      </c>
      <c r="D48" s="1" t="s">
        <v>23</v>
      </c>
      <c r="E48" s="1" t="s">
        <v>70</v>
      </c>
      <c r="F48" s="1" t="s">
        <v>75</v>
      </c>
      <c r="G48" s="1" t="s">
        <v>76</v>
      </c>
      <c r="H48" s="1" t="s">
        <v>27</v>
      </c>
      <c r="I48">
        <v>53</v>
      </c>
      <c r="J48">
        <v>16</v>
      </c>
      <c r="K48">
        <v>6498918</v>
      </c>
      <c r="M48">
        <v>6498934</v>
      </c>
      <c r="N48">
        <v>211000</v>
      </c>
      <c r="O48" s="1" t="s">
        <v>73</v>
      </c>
      <c r="P48">
        <v>3000000</v>
      </c>
      <c r="Q48">
        <v>3000000</v>
      </c>
      <c r="R48" s="4">
        <v>1949680.2</v>
      </c>
      <c r="S48" s="2">
        <v>0.77</v>
      </c>
      <c r="T48" s="3">
        <f>IFERROR(tbl_EMDAT[[#This Row],[Actual_Spending_USD]]/tbl_EMDAT[[#This Row],[Beneficiaries_Served]], 0)</f>
        <v>1.5387138875390949</v>
      </c>
      <c r="U48">
        <f>tbl_EMDAT[[#This Row],[Budget_Allocated_USD]] - tbl_EMDAT[[#This Row],[Actual_Spending_USD]]</f>
        <v>0</v>
      </c>
    </row>
    <row r="49" spans="1:21" x14ac:dyDescent="0.25">
      <c r="A49" s="1" t="s">
        <v>126</v>
      </c>
      <c r="B49">
        <v>2025</v>
      </c>
      <c r="C49" s="1" t="s">
        <v>22</v>
      </c>
      <c r="D49" s="1" t="s">
        <v>23</v>
      </c>
      <c r="E49" s="1" t="s">
        <v>70</v>
      </c>
      <c r="F49" s="1" t="s">
        <v>75</v>
      </c>
      <c r="G49" s="1" t="s">
        <v>76</v>
      </c>
      <c r="H49" s="1" t="s">
        <v>27</v>
      </c>
      <c r="I49">
        <v>372</v>
      </c>
      <c r="J49">
        <v>502</v>
      </c>
      <c r="K49">
        <v>5450000</v>
      </c>
      <c r="M49">
        <v>5450502</v>
      </c>
      <c r="O49" s="1" t="s">
        <v>73</v>
      </c>
      <c r="P49">
        <v>3000000</v>
      </c>
      <c r="Q49">
        <v>3000000</v>
      </c>
      <c r="R49" s="4">
        <v>1362625.5</v>
      </c>
      <c r="S49" s="2">
        <v>0.81</v>
      </c>
      <c r="T49" s="3">
        <f>IFERROR(tbl_EMDAT[[#This Row],[Actual_Spending_USD]]/tbl_EMDAT[[#This Row],[Beneficiaries_Served]], 0)</f>
        <v>2.2016320698533822</v>
      </c>
      <c r="U49">
        <f>tbl_EMDAT[[#This Row],[Budget_Allocated_USD]] - tbl_EMDAT[[#This Row],[Actual_Spending_USD]]</f>
        <v>0</v>
      </c>
    </row>
    <row r="50" spans="1:21" x14ac:dyDescent="0.25">
      <c r="A50" s="1" t="s">
        <v>68</v>
      </c>
      <c r="B50">
        <v>2023</v>
      </c>
      <c r="C50" s="1" t="s">
        <v>22</v>
      </c>
      <c r="D50" s="1" t="s">
        <v>23</v>
      </c>
      <c r="E50" s="1" t="s">
        <v>24</v>
      </c>
      <c r="F50" s="1" t="s">
        <v>34</v>
      </c>
      <c r="G50" s="1" t="s">
        <v>35</v>
      </c>
      <c r="H50" s="1" t="s">
        <v>27</v>
      </c>
      <c r="I50">
        <v>52</v>
      </c>
      <c r="J50">
        <v>11</v>
      </c>
      <c r="K50">
        <v>2143347</v>
      </c>
      <c r="M50">
        <v>2143358</v>
      </c>
      <c r="N50">
        <v>31267</v>
      </c>
      <c r="O50" s="1" t="s">
        <v>28</v>
      </c>
      <c r="P50">
        <v>3000000</v>
      </c>
      <c r="Q50">
        <v>3000000</v>
      </c>
      <c r="R50" s="4">
        <v>857343.2</v>
      </c>
      <c r="S50" s="2">
        <v>0.89</v>
      </c>
      <c r="T50" s="3">
        <f>IFERROR(tbl_EMDAT[[#This Row],[Actual_Spending_USD]]/tbl_EMDAT[[#This Row],[Beneficiaries_Served]], 0)</f>
        <v>3.499182124498101</v>
      </c>
      <c r="U50">
        <f>tbl_EMDAT[[#This Row],[Budget_Allocated_USD]] - tbl_EMDAT[[#This Row],[Actual_Spending_USD]]</f>
        <v>0</v>
      </c>
    </row>
    <row r="51" spans="1:21" x14ac:dyDescent="0.25">
      <c r="A51" s="1" t="s">
        <v>117</v>
      </c>
      <c r="B51">
        <v>2022</v>
      </c>
      <c r="C51" s="1" t="s">
        <v>22</v>
      </c>
      <c r="D51" s="1" t="s">
        <v>23</v>
      </c>
      <c r="E51" s="1" t="s">
        <v>70</v>
      </c>
      <c r="F51" s="1" t="s">
        <v>75</v>
      </c>
      <c r="G51" s="1" t="s">
        <v>76</v>
      </c>
      <c r="H51" s="1" t="s">
        <v>27</v>
      </c>
      <c r="I51">
        <v>346</v>
      </c>
      <c r="J51">
        <v>8</v>
      </c>
      <c r="K51">
        <v>2298780</v>
      </c>
      <c r="M51">
        <v>2298788</v>
      </c>
      <c r="N51">
        <v>44543</v>
      </c>
      <c r="O51" s="1" t="s">
        <v>73</v>
      </c>
      <c r="P51">
        <v>3000000</v>
      </c>
      <c r="Q51">
        <v>3000000</v>
      </c>
      <c r="R51" s="4">
        <v>804575.8</v>
      </c>
      <c r="S51" s="2">
        <v>0.78</v>
      </c>
      <c r="T51" s="3">
        <f>IFERROR(tbl_EMDAT[[#This Row],[Actual_Spending_USD]]/tbl_EMDAT[[#This Row],[Beneficiaries_Served]], 0)</f>
        <v>3.7286729230483937</v>
      </c>
      <c r="U51">
        <f>tbl_EMDAT[[#This Row],[Budget_Allocated_USD]] - tbl_EMDAT[[#This Row],[Actual_Spending_USD]]</f>
        <v>0</v>
      </c>
    </row>
    <row r="52" spans="1:21" x14ac:dyDescent="0.25">
      <c r="A52" s="1" t="s">
        <v>121</v>
      </c>
      <c r="B52">
        <v>2022</v>
      </c>
      <c r="C52" s="1" t="s">
        <v>22</v>
      </c>
      <c r="D52" s="1" t="s">
        <v>23</v>
      </c>
      <c r="E52" s="1" t="s">
        <v>70</v>
      </c>
      <c r="F52" s="1" t="s">
        <v>75</v>
      </c>
      <c r="G52" s="1" t="s">
        <v>76</v>
      </c>
      <c r="H52" s="1" t="s">
        <v>27</v>
      </c>
      <c r="I52">
        <v>158</v>
      </c>
      <c r="J52">
        <v>103</v>
      </c>
      <c r="K52">
        <v>3323188</v>
      </c>
      <c r="M52">
        <v>3323291</v>
      </c>
      <c r="N52">
        <v>48844</v>
      </c>
      <c r="O52" s="1" t="s">
        <v>73</v>
      </c>
      <c r="P52">
        <v>3000000</v>
      </c>
      <c r="Q52">
        <v>3000000</v>
      </c>
      <c r="R52" s="4">
        <v>664658.19999999995</v>
      </c>
      <c r="S52" s="2">
        <v>0.85</v>
      </c>
      <c r="T52" s="3">
        <f>IFERROR(tbl_EMDAT[[#This Row],[Actual_Spending_USD]]/tbl_EMDAT[[#This Row],[Beneficiaries_Served]], 0)</f>
        <v>4.5135981170472288</v>
      </c>
      <c r="U52">
        <f>tbl_EMDAT[[#This Row],[Budget_Allocated_USD]] - tbl_EMDAT[[#This Row],[Actual_Spending_USD]]</f>
        <v>0</v>
      </c>
    </row>
    <row r="53" spans="1:21" x14ac:dyDescent="0.25">
      <c r="A53" s="1" t="s">
        <v>119</v>
      </c>
      <c r="B53">
        <v>2024</v>
      </c>
      <c r="C53" s="1" t="s">
        <v>22</v>
      </c>
      <c r="D53" s="1" t="s">
        <v>23</v>
      </c>
      <c r="E53" s="1" t="s">
        <v>70</v>
      </c>
      <c r="F53" s="1" t="s">
        <v>75</v>
      </c>
      <c r="G53" s="1" t="s">
        <v>76</v>
      </c>
      <c r="H53" s="1" t="s">
        <v>27</v>
      </c>
      <c r="I53">
        <v>33</v>
      </c>
      <c r="J53">
        <v>22</v>
      </c>
      <c r="K53">
        <v>3000000</v>
      </c>
      <c r="M53">
        <v>3000022</v>
      </c>
      <c r="N53">
        <v>33000</v>
      </c>
      <c r="O53" s="1" t="s">
        <v>73</v>
      </c>
      <c r="P53">
        <v>3000000</v>
      </c>
      <c r="Q53">
        <v>3000000</v>
      </c>
      <c r="R53" s="4">
        <v>600004.4</v>
      </c>
      <c r="S53" s="2">
        <v>0.7</v>
      </c>
      <c r="T53" s="3">
        <f>IFERROR(tbl_EMDAT[[#This Row],[Actual_Spending_USD]]/tbl_EMDAT[[#This Row],[Beneficiaries_Served]], 0)</f>
        <v>4.9999633336022198</v>
      </c>
      <c r="U53">
        <f>tbl_EMDAT[[#This Row],[Budget_Allocated_USD]] - tbl_EMDAT[[#This Row],[Actual_Spending_USD]]</f>
        <v>0</v>
      </c>
    </row>
    <row r="54" spans="1:21" x14ac:dyDescent="0.25">
      <c r="A54" s="1" t="s">
        <v>61</v>
      </c>
      <c r="B54">
        <v>2023</v>
      </c>
      <c r="C54" s="1" t="s">
        <v>22</v>
      </c>
      <c r="D54" s="1" t="s">
        <v>23</v>
      </c>
      <c r="E54" s="1" t="s">
        <v>30</v>
      </c>
      <c r="F54" s="1" t="s">
        <v>31</v>
      </c>
      <c r="G54" s="1" t="s">
        <v>32</v>
      </c>
      <c r="H54" s="1" t="s">
        <v>27</v>
      </c>
      <c r="I54">
        <v>3</v>
      </c>
      <c r="J54">
        <v>79</v>
      </c>
      <c r="K54">
        <v>720997</v>
      </c>
      <c r="M54">
        <v>721076</v>
      </c>
      <c r="N54">
        <v>23382</v>
      </c>
      <c r="O54" s="1" t="s">
        <v>28</v>
      </c>
      <c r="P54">
        <v>3000000</v>
      </c>
      <c r="Q54">
        <v>3000000</v>
      </c>
      <c r="R54" s="4">
        <v>324484.2</v>
      </c>
      <c r="S54" s="2">
        <v>0.9</v>
      </c>
      <c r="T54" s="3">
        <f>IFERROR(tbl_EMDAT[[#This Row],[Actual_Spending_USD]]/tbl_EMDAT[[#This Row],[Beneficiaries_Served]], 0)</f>
        <v>9.2454424591397668</v>
      </c>
      <c r="U54">
        <f>tbl_EMDAT[[#This Row],[Budget_Allocated_USD]] - tbl_EMDAT[[#This Row],[Actual_Spending_USD]]</f>
        <v>0</v>
      </c>
    </row>
    <row r="55" spans="1:21" x14ac:dyDescent="0.25">
      <c r="A55" s="1" t="s">
        <v>62</v>
      </c>
      <c r="B55">
        <v>2025</v>
      </c>
      <c r="C55" s="1" t="s">
        <v>22</v>
      </c>
      <c r="D55" s="1" t="s">
        <v>23</v>
      </c>
      <c r="E55" s="1" t="s">
        <v>30</v>
      </c>
      <c r="F55" s="1" t="s">
        <v>31</v>
      </c>
      <c r="G55" s="1" t="s">
        <v>32</v>
      </c>
      <c r="H55" s="1" t="s">
        <v>27</v>
      </c>
      <c r="I55">
        <v>70</v>
      </c>
      <c r="J55">
        <v>559</v>
      </c>
      <c r="K55">
        <v>754733</v>
      </c>
      <c r="M55">
        <v>755292</v>
      </c>
      <c r="O55" s="1" t="s">
        <v>28</v>
      </c>
      <c r="P55">
        <v>3000000</v>
      </c>
      <c r="Q55">
        <v>3000000</v>
      </c>
      <c r="R55" s="4">
        <v>302116.8</v>
      </c>
      <c r="S55" s="2">
        <v>0.84</v>
      </c>
      <c r="T55" s="3">
        <f>IFERROR(tbl_EMDAT[[#This Row],[Actual_Spending_USD]]/tbl_EMDAT[[#This Row],[Beneficiaries_Served]], 0)</f>
        <v>9.9299343829935971</v>
      </c>
      <c r="U55">
        <f>tbl_EMDAT[[#This Row],[Budget_Allocated_USD]] - tbl_EMDAT[[#This Row],[Actual_Spending_USD]]</f>
        <v>0</v>
      </c>
    </row>
    <row r="56" spans="1:21" x14ac:dyDescent="0.25">
      <c r="A56" s="1" t="s">
        <v>56</v>
      </c>
      <c r="B56">
        <v>2019</v>
      </c>
      <c r="C56" s="1" t="s">
        <v>22</v>
      </c>
      <c r="D56" s="1" t="s">
        <v>23</v>
      </c>
      <c r="E56" s="1" t="s">
        <v>30</v>
      </c>
      <c r="F56" s="1" t="s">
        <v>31</v>
      </c>
      <c r="G56" s="1" t="s">
        <v>32</v>
      </c>
      <c r="H56" s="1" t="s">
        <v>27</v>
      </c>
      <c r="I56">
        <v>23</v>
      </c>
      <c r="J56">
        <v>417</v>
      </c>
      <c r="K56">
        <v>260286</v>
      </c>
      <c r="M56">
        <v>260703</v>
      </c>
      <c r="O56" s="1" t="s">
        <v>28</v>
      </c>
      <c r="P56">
        <v>3000000</v>
      </c>
      <c r="Q56">
        <v>3000000</v>
      </c>
      <c r="R56" s="4">
        <v>117316.35</v>
      </c>
      <c r="S56" s="2">
        <v>0.85</v>
      </c>
      <c r="T56" s="3">
        <f>IFERROR(tbl_EMDAT[[#This Row],[Actual_Spending_USD]]/tbl_EMDAT[[#This Row],[Beneficiaries_Served]], 0)</f>
        <v>25.571883202980658</v>
      </c>
      <c r="U56">
        <f>tbl_EMDAT[[#This Row],[Budget_Allocated_USD]] - tbl_EMDAT[[#This Row],[Actual_Spending_USD]]</f>
        <v>0</v>
      </c>
    </row>
    <row r="57" spans="1:21" x14ac:dyDescent="0.25">
      <c r="A57" s="1" t="s">
        <v>104</v>
      </c>
      <c r="B57">
        <v>2021</v>
      </c>
      <c r="C57" s="1" t="s">
        <v>22</v>
      </c>
      <c r="D57" s="1" t="s">
        <v>23</v>
      </c>
      <c r="E57" s="1" t="s">
        <v>70</v>
      </c>
      <c r="F57" s="1" t="s">
        <v>75</v>
      </c>
      <c r="G57" s="1" t="s">
        <v>76</v>
      </c>
      <c r="H57" s="1" t="s">
        <v>27</v>
      </c>
      <c r="I57">
        <v>17</v>
      </c>
      <c r="J57">
        <v>24</v>
      </c>
      <c r="K57">
        <v>313373</v>
      </c>
      <c r="M57">
        <v>313397</v>
      </c>
      <c r="O57" s="1" t="s">
        <v>73</v>
      </c>
      <c r="P57">
        <v>3000000</v>
      </c>
      <c r="Q57">
        <v>3000000</v>
      </c>
      <c r="R57" s="4">
        <v>109688.95</v>
      </c>
      <c r="S57" s="2">
        <v>0.75</v>
      </c>
      <c r="T57" s="3">
        <f>IFERROR(tbl_EMDAT[[#This Row],[Actual_Spending_USD]]/tbl_EMDAT[[#This Row],[Beneficiaries_Served]], 0)</f>
        <v>27.350065799699969</v>
      </c>
      <c r="U57">
        <f>tbl_EMDAT[[#This Row],[Budget_Allocated_USD]] - tbl_EMDAT[[#This Row],[Actual_Spending_USD]]</f>
        <v>0</v>
      </c>
    </row>
    <row r="58" spans="1:21" x14ac:dyDescent="0.25">
      <c r="A58" s="1" t="s">
        <v>52</v>
      </c>
      <c r="B58">
        <v>2023</v>
      </c>
      <c r="C58" s="1" t="s">
        <v>22</v>
      </c>
      <c r="D58" s="1" t="s">
        <v>23</v>
      </c>
      <c r="E58" s="1" t="s">
        <v>30</v>
      </c>
      <c r="F58" s="1" t="s">
        <v>31</v>
      </c>
      <c r="G58" s="1" t="s">
        <v>32</v>
      </c>
      <c r="H58" s="1" t="s">
        <v>27</v>
      </c>
      <c r="I58">
        <v>11</v>
      </c>
      <c r="J58">
        <v>37</v>
      </c>
      <c r="K58">
        <v>99541</v>
      </c>
      <c r="M58">
        <v>99578</v>
      </c>
      <c r="N58">
        <v>26142</v>
      </c>
      <c r="O58" s="1" t="s">
        <v>28</v>
      </c>
      <c r="P58">
        <v>2000000</v>
      </c>
      <c r="Q58">
        <v>2000000</v>
      </c>
      <c r="R58" s="4">
        <v>29873.4</v>
      </c>
      <c r="S58" s="2">
        <v>0.8</v>
      </c>
      <c r="T58" s="3">
        <f>IFERROR(tbl_EMDAT[[#This Row],[Actual_Spending_USD]]/tbl_EMDAT[[#This Row],[Beneficiaries_Served]], 0)</f>
        <v>66.949192257995406</v>
      </c>
      <c r="U58">
        <f>tbl_EMDAT[[#This Row],[Budget_Allocated_USD]] - tbl_EMDAT[[#This Row],[Actual_Spending_USD]]</f>
        <v>0</v>
      </c>
    </row>
    <row r="59" spans="1:21" x14ac:dyDescent="0.25">
      <c r="A59" s="1" t="s">
        <v>142</v>
      </c>
      <c r="B59">
        <v>2024</v>
      </c>
      <c r="C59" s="1" t="s">
        <v>22</v>
      </c>
      <c r="D59" s="1" t="s">
        <v>23</v>
      </c>
      <c r="E59" s="1" t="s">
        <v>30</v>
      </c>
      <c r="F59" s="1" t="s">
        <v>134</v>
      </c>
      <c r="G59" s="1" t="s">
        <v>143</v>
      </c>
      <c r="H59" s="1" t="s">
        <v>27</v>
      </c>
      <c r="K59">
        <v>44053</v>
      </c>
      <c r="M59">
        <v>44053</v>
      </c>
      <c r="O59" s="1" t="s">
        <v>136</v>
      </c>
      <c r="P59">
        <v>1000000</v>
      </c>
      <c r="Q59">
        <v>1000000</v>
      </c>
      <c r="R59" s="4">
        <v>11013.25</v>
      </c>
      <c r="S59" s="2">
        <v>0.72</v>
      </c>
      <c r="T59" s="3">
        <f>IFERROR(tbl_EMDAT[[#This Row],[Actual_Spending_USD]]/tbl_EMDAT[[#This Row],[Beneficiaries_Served]], 0)</f>
        <v>90.799718520872588</v>
      </c>
      <c r="U59">
        <f>tbl_EMDAT[[#This Row],[Budget_Allocated_USD]] - tbl_EMDAT[[#This Row],[Actual_Spending_USD]]</f>
        <v>0</v>
      </c>
    </row>
    <row r="60" spans="1:21" x14ac:dyDescent="0.25">
      <c r="A60" s="1" t="s">
        <v>94</v>
      </c>
      <c r="B60">
        <v>2019</v>
      </c>
      <c r="C60" s="1" t="s">
        <v>22</v>
      </c>
      <c r="D60" s="1" t="s">
        <v>23</v>
      </c>
      <c r="E60" s="1" t="s">
        <v>70</v>
      </c>
      <c r="F60" s="1" t="s">
        <v>75</v>
      </c>
      <c r="G60" s="1" t="s">
        <v>76</v>
      </c>
      <c r="H60" s="1" t="s">
        <v>27</v>
      </c>
      <c r="I60">
        <v>2</v>
      </c>
      <c r="J60">
        <v>2</v>
      </c>
      <c r="K60">
        <v>61500</v>
      </c>
      <c r="M60">
        <v>61502</v>
      </c>
      <c r="O60" s="1" t="s">
        <v>73</v>
      </c>
      <c r="P60">
        <v>2000000</v>
      </c>
      <c r="Q60">
        <v>2000000</v>
      </c>
      <c r="R60" s="4">
        <v>15375.5</v>
      </c>
      <c r="S60" s="2">
        <v>0.79</v>
      </c>
      <c r="T60" s="3">
        <f>IFERROR(tbl_EMDAT[[#This Row],[Actual_Spending_USD]]/tbl_EMDAT[[#This Row],[Beneficiaries_Served]], 0)</f>
        <v>130.07707066436865</v>
      </c>
      <c r="U60">
        <f>tbl_EMDAT[[#This Row],[Budget_Allocated_USD]] - tbl_EMDAT[[#This Row],[Actual_Spending_USD]]</f>
        <v>0</v>
      </c>
    </row>
    <row r="61" spans="1:21" x14ac:dyDescent="0.25">
      <c r="A61" s="1" t="s">
        <v>88</v>
      </c>
      <c r="B61">
        <v>2021</v>
      </c>
      <c r="C61" s="1" t="s">
        <v>22</v>
      </c>
      <c r="D61" s="1" t="s">
        <v>23</v>
      </c>
      <c r="E61" s="1" t="s">
        <v>70</v>
      </c>
      <c r="F61" s="1" t="s">
        <v>75</v>
      </c>
      <c r="G61" s="1" t="s">
        <v>76</v>
      </c>
      <c r="H61" s="1" t="s">
        <v>27</v>
      </c>
      <c r="I61">
        <v>11</v>
      </c>
      <c r="K61">
        <v>21000</v>
      </c>
      <c r="M61">
        <v>21000</v>
      </c>
      <c r="N61">
        <v>12734</v>
      </c>
      <c r="O61" s="1" t="s">
        <v>73</v>
      </c>
      <c r="P61">
        <v>1000000</v>
      </c>
      <c r="Q61">
        <v>1000000</v>
      </c>
      <c r="R61" s="4">
        <v>7350</v>
      </c>
      <c r="S61" s="2">
        <v>0.8</v>
      </c>
      <c r="T61" s="3">
        <f>IFERROR(tbl_EMDAT[[#This Row],[Actual_Spending_USD]]/tbl_EMDAT[[#This Row],[Beneficiaries_Served]], 0)</f>
        <v>136.05442176870747</v>
      </c>
      <c r="U61">
        <f>tbl_EMDAT[[#This Row],[Budget_Allocated_USD]] - tbl_EMDAT[[#This Row],[Actual_Spending_USD]]</f>
        <v>0</v>
      </c>
    </row>
    <row r="62" spans="1:21" x14ac:dyDescent="0.25">
      <c r="A62" s="1" t="s">
        <v>47</v>
      </c>
      <c r="B62">
        <v>2021</v>
      </c>
      <c r="C62" s="1" t="s">
        <v>22</v>
      </c>
      <c r="D62" s="1" t="s">
        <v>23</v>
      </c>
      <c r="E62" s="1" t="s">
        <v>24</v>
      </c>
      <c r="F62" s="1" t="s">
        <v>34</v>
      </c>
      <c r="G62" s="1" t="s">
        <v>35</v>
      </c>
      <c r="H62" s="1" t="s">
        <v>27</v>
      </c>
      <c r="K62">
        <v>24166</v>
      </c>
      <c r="M62">
        <v>24166</v>
      </c>
      <c r="O62" s="1" t="s">
        <v>28</v>
      </c>
      <c r="P62">
        <v>1000000</v>
      </c>
      <c r="Q62">
        <v>1000000</v>
      </c>
      <c r="R62" s="4">
        <v>7249.8</v>
      </c>
      <c r="S62" s="2">
        <v>0.81</v>
      </c>
      <c r="T62" s="3">
        <f>IFERROR(tbl_EMDAT[[#This Row],[Actual_Spending_USD]]/tbl_EMDAT[[#This Row],[Beneficiaries_Served]], 0)</f>
        <v>137.93483958178157</v>
      </c>
      <c r="U62">
        <f>tbl_EMDAT[[#This Row],[Budget_Allocated_USD]] - tbl_EMDAT[[#This Row],[Actual_Spending_USD]]</f>
        <v>0</v>
      </c>
    </row>
    <row r="63" spans="1:21" x14ac:dyDescent="0.25">
      <c r="A63" s="1" t="s">
        <v>46</v>
      </c>
      <c r="B63">
        <v>2024</v>
      </c>
      <c r="C63" s="1" t="s">
        <v>22</v>
      </c>
      <c r="D63" s="1" t="s">
        <v>23</v>
      </c>
      <c r="E63" s="1" t="s">
        <v>30</v>
      </c>
      <c r="F63" s="1" t="s">
        <v>31</v>
      </c>
      <c r="G63" s="1" t="s">
        <v>32</v>
      </c>
      <c r="H63" s="1" t="s">
        <v>27</v>
      </c>
      <c r="K63">
        <v>24000</v>
      </c>
      <c r="M63">
        <v>24000</v>
      </c>
      <c r="O63" s="1" t="s">
        <v>28</v>
      </c>
      <c r="P63">
        <v>1000000</v>
      </c>
      <c r="Q63">
        <v>1000000</v>
      </c>
      <c r="R63" s="4">
        <v>7200</v>
      </c>
      <c r="S63" s="2">
        <v>0.79</v>
      </c>
      <c r="T63" s="3">
        <f>IFERROR(tbl_EMDAT[[#This Row],[Actual_Spending_USD]]/tbl_EMDAT[[#This Row],[Beneficiaries_Served]], 0)</f>
        <v>138.88888888888889</v>
      </c>
      <c r="U63">
        <f>tbl_EMDAT[[#This Row],[Budget_Allocated_USD]] - tbl_EMDAT[[#This Row],[Actual_Spending_USD]]</f>
        <v>0</v>
      </c>
    </row>
    <row r="64" spans="1:21" x14ac:dyDescent="0.25">
      <c r="A64" s="1" t="s">
        <v>42</v>
      </c>
      <c r="B64">
        <v>2019</v>
      </c>
      <c r="C64" s="1" t="s">
        <v>22</v>
      </c>
      <c r="D64" s="1" t="s">
        <v>23</v>
      </c>
      <c r="E64" s="1" t="s">
        <v>30</v>
      </c>
      <c r="F64" s="1" t="s">
        <v>31</v>
      </c>
      <c r="G64" s="1" t="s">
        <v>32</v>
      </c>
      <c r="H64" s="1" t="s">
        <v>27</v>
      </c>
      <c r="J64">
        <v>52</v>
      </c>
      <c r="K64">
        <v>9525</v>
      </c>
      <c r="M64">
        <v>9577</v>
      </c>
      <c r="O64" s="1" t="s">
        <v>28</v>
      </c>
      <c r="P64">
        <v>500000</v>
      </c>
      <c r="Q64">
        <v>500000</v>
      </c>
      <c r="R64" s="4">
        <v>2873.1</v>
      </c>
      <c r="S64" s="2">
        <v>0.75</v>
      </c>
      <c r="T64" s="3">
        <f>IFERROR(tbl_EMDAT[[#This Row],[Actual_Spending_USD]]/tbl_EMDAT[[#This Row],[Beneficiaries_Served]], 0)</f>
        <v>174.02805332219555</v>
      </c>
      <c r="U64">
        <f>tbl_EMDAT[[#This Row],[Budget_Allocated_USD]] - tbl_EMDAT[[#This Row],[Actual_Spending_USD]]</f>
        <v>0</v>
      </c>
    </row>
    <row r="65" spans="1:21" x14ac:dyDescent="0.25">
      <c r="A65" s="1" t="s">
        <v>84</v>
      </c>
      <c r="B65">
        <v>2021</v>
      </c>
      <c r="C65" s="1" t="s">
        <v>22</v>
      </c>
      <c r="D65" s="1" t="s">
        <v>23</v>
      </c>
      <c r="E65" s="1" t="s">
        <v>70</v>
      </c>
      <c r="F65" s="1" t="s">
        <v>75</v>
      </c>
      <c r="G65" s="1" t="s">
        <v>76</v>
      </c>
      <c r="H65" s="1" t="s">
        <v>27</v>
      </c>
      <c r="I65">
        <v>3</v>
      </c>
      <c r="K65">
        <v>8048</v>
      </c>
      <c r="M65">
        <v>8048</v>
      </c>
      <c r="N65">
        <v>278</v>
      </c>
      <c r="O65" s="1" t="s">
        <v>73</v>
      </c>
      <c r="P65">
        <v>500000</v>
      </c>
      <c r="Q65">
        <v>500000</v>
      </c>
      <c r="R65" s="4">
        <v>2012</v>
      </c>
      <c r="S65" s="2">
        <v>0.84</v>
      </c>
      <c r="T65" s="3">
        <f>IFERROR(tbl_EMDAT[[#This Row],[Actual_Spending_USD]]/tbl_EMDAT[[#This Row],[Beneficiaries_Served]], 0)</f>
        <v>248.5089463220676</v>
      </c>
      <c r="U65">
        <f>tbl_EMDAT[[#This Row],[Budget_Allocated_USD]] - tbl_EMDAT[[#This Row],[Actual_Spending_USD]]</f>
        <v>0</v>
      </c>
    </row>
    <row r="66" spans="1:21" x14ac:dyDescent="0.25">
      <c r="A66" s="1" t="s">
        <v>85</v>
      </c>
      <c r="B66">
        <v>2019</v>
      </c>
      <c r="C66" s="1" t="s">
        <v>22</v>
      </c>
      <c r="D66" s="1" t="s">
        <v>23</v>
      </c>
      <c r="E66" s="1" t="s">
        <v>70</v>
      </c>
      <c r="F66" s="1" t="s">
        <v>75</v>
      </c>
      <c r="G66" s="1" t="s">
        <v>76</v>
      </c>
      <c r="H66" s="1" t="s">
        <v>27</v>
      </c>
      <c r="K66">
        <v>13160</v>
      </c>
      <c r="M66">
        <v>13160</v>
      </c>
      <c r="O66" s="1" t="s">
        <v>73</v>
      </c>
      <c r="P66">
        <v>1000000</v>
      </c>
      <c r="Q66">
        <v>1000000</v>
      </c>
      <c r="R66" s="4">
        <v>2632</v>
      </c>
      <c r="S66" s="2">
        <v>0.72</v>
      </c>
      <c r="T66" s="3">
        <f>IFERROR(tbl_EMDAT[[#This Row],[Actual_Spending_USD]]/tbl_EMDAT[[#This Row],[Beneficiaries_Served]], 0)</f>
        <v>379.93920972644378</v>
      </c>
      <c r="U66">
        <f>tbl_EMDAT[[#This Row],[Budget_Allocated_USD]] - tbl_EMDAT[[#This Row],[Actual_Spending_USD]]</f>
        <v>0</v>
      </c>
    </row>
    <row r="67" spans="1:21" x14ac:dyDescent="0.25">
      <c r="A67" s="1" t="s">
        <v>40</v>
      </c>
      <c r="B67">
        <v>2019</v>
      </c>
      <c r="C67" s="1" t="s">
        <v>22</v>
      </c>
      <c r="D67" s="1" t="s">
        <v>23</v>
      </c>
      <c r="E67" s="1" t="s">
        <v>30</v>
      </c>
      <c r="F67" s="1" t="s">
        <v>31</v>
      </c>
      <c r="G67" s="1" t="s">
        <v>32</v>
      </c>
      <c r="H67" s="1" t="s">
        <v>27</v>
      </c>
      <c r="I67">
        <v>7</v>
      </c>
      <c r="J67">
        <v>215</v>
      </c>
      <c r="K67">
        <v>3068</v>
      </c>
      <c r="M67">
        <v>3283</v>
      </c>
      <c r="O67" s="1" t="s">
        <v>28</v>
      </c>
      <c r="P67">
        <v>500000</v>
      </c>
      <c r="Q67">
        <v>500000</v>
      </c>
      <c r="R67" s="4">
        <v>984.9</v>
      </c>
      <c r="S67" s="2">
        <v>0.82</v>
      </c>
      <c r="T67" s="3">
        <f>IFERROR(tbl_EMDAT[[#This Row],[Actual_Spending_USD]]/tbl_EMDAT[[#This Row],[Beneficiaries_Served]], 0)</f>
        <v>507.66575286831153</v>
      </c>
      <c r="U67">
        <f>tbl_EMDAT[[#This Row],[Budget_Allocated_USD]] - tbl_EMDAT[[#This Row],[Actual_Spending_USD]]</f>
        <v>0</v>
      </c>
    </row>
    <row r="68" spans="1:21" x14ac:dyDescent="0.25">
      <c r="A68" s="1" t="s">
        <v>36</v>
      </c>
      <c r="B68">
        <v>2022</v>
      </c>
      <c r="C68" s="1" t="s">
        <v>22</v>
      </c>
      <c r="D68" s="1" t="s">
        <v>23</v>
      </c>
      <c r="E68" s="1" t="s">
        <v>24</v>
      </c>
      <c r="F68" s="1" t="s">
        <v>34</v>
      </c>
      <c r="G68" s="1" t="s">
        <v>37</v>
      </c>
      <c r="H68" s="1" t="s">
        <v>27</v>
      </c>
      <c r="I68">
        <v>3</v>
      </c>
      <c r="K68">
        <v>1955</v>
      </c>
      <c r="M68">
        <v>1955</v>
      </c>
      <c r="O68" s="1" t="s">
        <v>28</v>
      </c>
      <c r="P68">
        <v>500000</v>
      </c>
      <c r="Q68">
        <v>500000</v>
      </c>
      <c r="R68" s="4">
        <v>586.5</v>
      </c>
      <c r="S68" s="2">
        <v>0.8</v>
      </c>
      <c r="T68" s="3">
        <f>IFERROR(tbl_EMDAT[[#This Row],[Actual_Spending_USD]]/tbl_EMDAT[[#This Row],[Beneficiaries_Served]], 0)</f>
        <v>852.51491901108272</v>
      </c>
      <c r="U68">
        <f>tbl_EMDAT[[#This Row],[Budget_Allocated_USD]] - tbl_EMDAT[[#This Row],[Actual_Spending_USD]]</f>
        <v>0</v>
      </c>
    </row>
    <row r="69" spans="1:21" x14ac:dyDescent="0.25">
      <c r="A69" s="1" t="s">
        <v>74</v>
      </c>
      <c r="B69">
        <v>2020</v>
      </c>
      <c r="C69" s="1" t="s">
        <v>22</v>
      </c>
      <c r="D69" s="1" t="s">
        <v>23</v>
      </c>
      <c r="E69" s="1" t="s">
        <v>70</v>
      </c>
      <c r="F69" s="1" t="s">
        <v>75</v>
      </c>
      <c r="G69" s="1" t="s">
        <v>76</v>
      </c>
      <c r="H69" s="1" t="s">
        <v>27</v>
      </c>
      <c r="I69">
        <v>3</v>
      </c>
      <c r="K69">
        <v>250</v>
      </c>
      <c r="M69">
        <v>250</v>
      </c>
      <c r="N69">
        <v>227</v>
      </c>
      <c r="O69" s="1" t="s">
        <v>73</v>
      </c>
      <c r="P69">
        <v>500000</v>
      </c>
      <c r="Q69">
        <v>500000</v>
      </c>
      <c r="R69" s="4">
        <v>75</v>
      </c>
      <c r="S69" s="2">
        <v>0.7</v>
      </c>
      <c r="T69" s="3">
        <f>IFERROR(tbl_EMDAT[[#This Row],[Actual_Spending_USD]]/tbl_EMDAT[[#This Row],[Beneficiaries_Served]], 0)</f>
        <v>6666.666666666667</v>
      </c>
      <c r="U69">
        <f>tbl_EMDAT[[#This Row],[Budget_Allocated_USD]] - tbl_EMDAT[[#This Row],[Actual_Spending_USD]]</f>
        <v>0</v>
      </c>
    </row>
    <row r="70" spans="1:21" x14ac:dyDescent="0.25">
      <c r="A70" s="1" t="s">
        <v>29</v>
      </c>
      <c r="B70">
        <v>2023</v>
      </c>
      <c r="C70" s="1" t="s">
        <v>22</v>
      </c>
      <c r="D70" s="1" t="s">
        <v>23</v>
      </c>
      <c r="E70" s="1" t="s">
        <v>30</v>
      </c>
      <c r="F70" s="1" t="s">
        <v>31</v>
      </c>
      <c r="G70" s="1" t="s">
        <v>32</v>
      </c>
      <c r="H70" s="1" t="s">
        <v>27</v>
      </c>
      <c r="J70">
        <v>5</v>
      </c>
      <c r="K70">
        <v>175</v>
      </c>
      <c r="M70">
        <v>180</v>
      </c>
      <c r="O70" s="1" t="s">
        <v>28</v>
      </c>
      <c r="P70">
        <v>500000</v>
      </c>
      <c r="Q70">
        <v>500000</v>
      </c>
      <c r="R70" s="4">
        <v>54</v>
      </c>
      <c r="S70" s="2">
        <v>0.75</v>
      </c>
      <c r="T70" s="3">
        <f>IFERROR(tbl_EMDAT[[#This Row],[Actual_Spending_USD]]/tbl_EMDAT[[#This Row],[Beneficiaries_Served]], 0)</f>
        <v>9259.2592592592591</v>
      </c>
      <c r="U70">
        <f>tbl_EMDAT[[#This Row],[Budget_Allocated_USD]] - tbl_EMDAT[[#This Row],[Actual_Spending_USD]]</f>
        <v>0</v>
      </c>
    </row>
    <row r="71" spans="1:21" x14ac:dyDescent="0.25">
      <c r="A71" s="1" t="s">
        <v>82</v>
      </c>
      <c r="B71">
        <v>2022</v>
      </c>
      <c r="C71" s="1" t="s">
        <v>22</v>
      </c>
      <c r="D71" s="1" t="s">
        <v>23</v>
      </c>
      <c r="E71" s="1" t="s">
        <v>70</v>
      </c>
      <c r="F71" s="1" t="s">
        <v>75</v>
      </c>
      <c r="G71" s="1" t="s">
        <v>76</v>
      </c>
      <c r="H71" s="1" t="s">
        <v>27</v>
      </c>
      <c r="K71">
        <v>7000</v>
      </c>
      <c r="M71">
        <v>7000</v>
      </c>
      <c r="N71">
        <v>19294</v>
      </c>
      <c r="O71" s="1" t="s">
        <v>73</v>
      </c>
      <c r="P71">
        <v>500000</v>
      </c>
      <c r="Q71">
        <v>450000</v>
      </c>
      <c r="R71" s="4">
        <v>2100</v>
      </c>
      <c r="S71" s="2">
        <v>0.85</v>
      </c>
      <c r="T71" s="3">
        <f>IFERROR(tbl_EMDAT[[#This Row],[Actual_Spending_USD]]/tbl_EMDAT[[#This Row],[Beneficiaries_Served]], 0)</f>
        <v>214.28571428571428</v>
      </c>
      <c r="U71">
        <f>tbl_EMDAT[[#This Row],[Budget_Allocated_USD]] - tbl_EMDAT[[#This Row],[Actual_Spending_USD]]</f>
        <v>50000</v>
      </c>
    </row>
    <row r="72" spans="1:21" x14ac:dyDescent="0.25">
      <c r="A72" s="1" t="s">
        <v>81</v>
      </c>
      <c r="B72">
        <v>2019</v>
      </c>
      <c r="C72" s="1" t="s">
        <v>22</v>
      </c>
      <c r="D72" s="1" t="s">
        <v>23</v>
      </c>
      <c r="E72" s="1" t="s">
        <v>70</v>
      </c>
      <c r="F72" s="1" t="s">
        <v>75</v>
      </c>
      <c r="G72" s="1" t="s">
        <v>76</v>
      </c>
      <c r="H72" s="1" t="s">
        <v>27</v>
      </c>
      <c r="K72">
        <v>3000</v>
      </c>
      <c r="M72">
        <v>3000</v>
      </c>
      <c r="O72" s="1" t="s">
        <v>73</v>
      </c>
      <c r="P72">
        <v>500000</v>
      </c>
      <c r="Q72">
        <v>450000</v>
      </c>
      <c r="R72" s="4">
        <v>1050</v>
      </c>
      <c r="S72" s="2">
        <v>0.7</v>
      </c>
      <c r="T72" s="3">
        <f>IFERROR(tbl_EMDAT[[#This Row],[Actual_Spending_USD]]/tbl_EMDAT[[#This Row],[Beneficiaries_Served]], 0)</f>
        <v>428.57142857142856</v>
      </c>
      <c r="U72">
        <f>tbl_EMDAT[[#This Row],[Budget_Allocated_USD]] - tbl_EMDAT[[#This Row],[Actual_Spending_USD]]</f>
        <v>50000</v>
      </c>
    </row>
    <row r="73" spans="1:21" x14ac:dyDescent="0.25">
      <c r="A73" s="1" t="s">
        <v>77</v>
      </c>
      <c r="B73">
        <v>2023</v>
      </c>
      <c r="C73" s="1" t="s">
        <v>22</v>
      </c>
      <c r="D73" s="1" t="s">
        <v>23</v>
      </c>
      <c r="E73" s="1" t="s">
        <v>70</v>
      </c>
      <c r="F73" s="1" t="s">
        <v>75</v>
      </c>
      <c r="G73" s="1" t="s">
        <v>76</v>
      </c>
      <c r="H73" s="1" t="s">
        <v>27</v>
      </c>
      <c r="K73">
        <v>275</v>
      </c>
      <c r="M73">
        <v>275</v>
      </c>
      <c r="O73" s="1" t="s">
        <v>73</v>
      </c>
      <c r="P73">
        <v>500000</v>
      </c>
      <c r="Q73">
        <v>450000</v>
      </c>
      <c r="R73" s="4">
        <v>96.25</v>
      </c>
      <c r="S73" s="2">
        <v>0.71</v>
      </c>
      <c r="T73" s="3">
        <f>IFERROR(tbl_EMDAT[[#This Row],[Actual_Spending_USD]]/tbl_EMDAT[[#This Row],[Beneficiaries_Served]], 0)</f>
        <v>4675.3246753246749</v>
      </c>
      <c r="U73">
        <f>tbl_EMDAT[[#This Row],[Budget_Allocated_USD]] - tbl_EMDAT[[#This Row],[Actual_Spending_USD]]</f>
        <v>50000</v>
      </c>
    </row>
    <row r="74" spans="1:21" x14ac:dyDescent="0.25">
      <c r="A74" s="1" t="s">
        <v>33</v>
      </c>
      <c r="B74">
        <v>2025</v>
      </c>
      <c r="C74" s="1" t="s">
        <v>22</v>
      </c>
      <c r="D74" s="1" t="s">
        <v>23</v>
      </c>
      <c r="E74" s="1" t="s">
        <v>24</v>
      </c>
      <c r="F74" s="1" t="s">
        <v>34</v>
      </c>
      <c r="G74" s="1" t="s">
        <v>35</v>
      </c>
      <c r="H74" s="1" t="s">
        <v>27</v>
      </c>
      <c r="K74">
        <v>192</v>
      </c>
      <c r="M74">
        <v>192</v>
      </c>
      <c r="O74" s="1" t="s">
        <v>28</v>
      </c>
      <c r="P74">
        <v>500000</v>
      </c>
      <c r="Q74">
        <v>450000</v>
      </c>
      <c r="R74" s="4">
        <v>57.6</v>
      </c>
      <c r="S74" s="2">
        <v>0.75</v>
      </c>
      <c r="T74" s="3">
        <f>IFERROR(tbl_EMDAT[[#This Row],[Actual_Spending_USD]]/tbl_EMDAT[[#This Row],[Beneficiaries_Served]], 0)</f>
        <v>7812.5</v>
      </c>
      <c r="U74">
        <f>tbl_EMDAT[[#This Row],[Budget_Allocated_USD]] - tbl_EMDAT[[#This Row],[Actual_Spending_USD]]</f>
        <v>50000</v>
      </c>
    </row>
    <row r="75" spans="1:21" x14ac:dyDescent="0.25">
      <c r="A75" s="1" t="s">
        <v>69</v>
      </c>
      <c r="B75">
        <v>2024</v>
      </c>
      <c r="C75" s="1" t="s">
        <v>22</v>
      </c>
      <c r="D75" s="1" t="s">
        <v>23</v>
      </c>
      <c r="E75" s="1" t="s">
        <v>70</v>
      </c>
      <c r="F75" s="1" t="s">
        <v>71</v>
      </c>
      <c r="G75" s="1" t="s">
        <v>72</v>
      </c>
      <c r="H75" s="1" t="s">
        <v>27</v>
      </c>
      <c r="J75">
        <v>34</v>
      </c>
      <c r="M75">
        <v>34</v>
      </c>
      <c r="O75" s="1" t="s">
        <v>73</v>
      </c>
      <c r="P75">
        <v>500000</v>
      </c>
      <c r="Q75">
        <v>450000</v>
      </c>
      <c r="R75" s="4">
        <v>11.9</v>
      </c>
      <c r="S75" s="2">
        <v>0.7</v>
      </c>
      <c r="T75" s="3">
        <f>IFERROR(tbl_EMDAT[[#This Row],[Actual_Spending_USD]]/tbl_EMDAT[[#This Row],[Beneficiaries_Served]], 0)</f>
        <v>37815.126050420164</v>
      </c>
      <c r="U75">
        <f>tbl_EMDAT[[#This Row],[Budget_Allocated_USD]] - tbl_EMDAT[[#This Row],[Actual_Spending_USD]]</f>
        <v>50000</v>
      </c>
    </row>
    <row r="76" spans="1:21" x14ac:dyDescent="0.25">
      <c r="A76" s="1" t="s">
        <v>21</v>
      </c>
      <c r="B76">
        <v>2020</v>
      </c>
      <c r="C76" s="1" t="s">
        <v>22</v>
      </c>
      <c r="D76" s="1" t="s">
        <v>23</v>
      </c>
      <c r="E76" s="1" t="s">
        <v>24</v>
      </c>
      <c r="F76" s="1" t="s">
        <v>25</v>
      </c>
      <c r="G76" s="1" t="s">
        <v>26</v>
      </c>
      <c r="H76" s="1" t="s">
        <v>27</v>
      </c>
      <c r="I76">
        <v>10</v>
      </c>
      <c r="J76">
        <v>11</v>
      </c>
      <c r="M76">
        <v>11</v>
      </c>
      <c r="O76" s="1" t="s">
        <v>28</v>
      </c>
      <c r="P76">
        <v>500000</v>
      </c>
      <c r="Q76">
        <v>450000</v>
      </c>
      <c r="R76" s="4">
        <v>3.3</v>
      </c>
      <c r="S76" s="2">
        <v>0.75</v>
      </c>
      <c r="T76" s="3">
        <f>IFERROR(tbl_EMDAT[[#This Row],[Actual_Spending_USD]]/tbl_EMDAT[[#This Row],[Beneficiaries_Served]], 0)</f>
        <v>136363.63636363638</v>
      </c>
      <c r="U76">
        <f>tbl_EMDAT[[#This Row],[Budget_Allocated_USD]] - tbl_EMDAT[[#This Row],[Actual_Spending_USD]]</f>
        <v>50000</v>
      </c>
    </row>
    <row r="77" spans="1:21" x14ac:dyDescent="0.25">
      <c r="A77" s="1" t="s">
        <v>89</v>
      </c>
      <c r="B77">
        <v>2023</v>
      </c>
      <c r="C77" s="1" t="s">
        <v>22</v>
      </c>
      <c r="D77" s="1" t="s">
        <v>23</v>
      </c>
      <c r="E77" s="1" t="s">
        <v>70</v>
      </c>
      <c r="F77" s="1" t="s">
        <v>75</v>
      </c>
      <c r="G77" s="1" t="s">
        <v>76</v>
      </c>
      <c r="H77" s="1" t="s">
        <v>27</v>
      </c>
      <c r="I77">
        <v>1</v>
      </c>
      <c r="J77">
        <v>1</v>
      </c>
      <c r="K77">
        <v>30500</v>
      </c>
      <c r="M77">
        <v>30501</v>
      </c>
      <c r="O77" s="1" t="s">
        <v>73</v>
      </c>
      <c r="P77">
        <v>1000000</v>
      </c>
      <c r="Q77">
        <v>900000</v>
      </c>
      <c r="R77" s="4">
        <v>9150.2999999999993</v>
      </c>
      <c r="S77" s="2">
        <v>0.8</v>
      </c>
      <c r="T77" s="3">
        <f>IFERROR(tbl_EMDAT[[#This Row],[Actual_Spending_USD]]/tbl_EMDAT[[#This Row],[Beneficiaries_Served]], 0)</f>
        <v>98.357430903904799</v>
      </c>
      <c r="U77">
        <f>tbl_EMDAT[[#This Row],[Budget_Allocated_USD]] - tbl_EMDAT[[#This Row],[Actual_Spending_USD]]</f>
        <v>100000</v>
      </c>
    </row>
    <row r="78" spans="1:21" x14ac:dyDescent="0.25">
      <c r="A78" s="1" t="s">
        <v>45</v>
      </c>
      <c r="B78">
        <v>2021</v>
      </c>
      <c r="C78" s="1" t="s">
        <v>22</v>
      </c>
      <c r="D78" s="1" t="s">
        <v>23</v>
      </c>
      <c r="E78" s="1" t="s">
        <v>24</v>
      </c>
      <c r="F78" s="1" t="s">
        <v>34</v>
      </c>
      <c r="G78" s="1" t="s">
        <v>35</v>
      </c>
      <c r="H78" s="1" t="s">
        <v>27</v>
      </c>
      <c r="I78">
        <v>1</v>
      </c>
      <c r="K78">
        <v>18170</v>
      </c>
      <c r="M78">
        <v>18170</v>
      </c>
      <c r="O78" s="1" t="s">
        <v>28</v>
      </c>
      <c r="P78">
        <v>1000000</v>
      </c>
      <c r="Q78">
        <v>900000</v>
      </c>
      <c r="R78" s="4">
        <v>5451</v>
      </c>
      <c r="S78" s="2">
        <v>0.83</v>
      </c>
      <c r="T78" s="3">
        <f>IFERROR(tbl_EMDAT[[#This Row],[Actual_Spending_USD]]/tbl_EMDAT[[#This Row],[Beneficiaries_Served]], 0)</f>
        <v>165.10731975784259</v>
      </c>
      <c r="U78">
        <f>tbl_EMDAT[[#This Row],[Budget_Allocated_USD]] - tbl_EMDAT[[#This Row],[Actual_Spending_USD]]</f>
        <v>100000</v>
      </c>
    </row>
    <row r="79" spans="1:21" x14ac:dyDescent="0.25">
      <c r="A79" s="1" t="s">
        <v>44</v>
      </c>
      <c r="B79">
        <v>2019</v>
      </c>
      <c r="C79" s="1" t="s">
        <v>22</v>
      </c>
      <c r="D79" s="1" t="s">
        <v>23</v>
      </c>
      <c r="E79" s="1" t="s">
        <v>30</v>
      </c>
      <c r="F79" s="1" t="s">
        <v>31</v>
      </c>
      <c r="G79" s="1" t="s">
        <v>32</v>
      </c>
      <c r="H79" s="1" t="s">
        <v>27</v>
      </c>
      <c r="I79">
        <v>25</v>
      </c>
      <c r="J79">
        <v>282</v>
      </c>
      <c r="K79">
        <v>15273</v>
      </c>
      <c r="M79">
        <v>15555</v>
      </c>
      <c r="N79">
        <v>61349</v>
      </c>
      <c r="O79" s="1" t="s">
        <v>28</v>
      </c>
      <c r="P79">
        <v>1000000</v>
      </c>
      <c r="Q79">
        <v>900000</v>
      </c>
      <c r="R79" s="4">
        <v>4666.5</v>
      </c>
      <c r="S79" s="2">
        <v>0.85</v>
      </c>
      <c r="T79" s="3">
        <f>IFERROR(tbl_EMDAT[[#This Row],[Actual_Spending_USD]]/tbl_EMDAT[[#This Row],[Beneficiaries_Served]], 0)</f>
        <v>192.86403085824494</v>
      </c>
      <c r="U79">
        <f>tbl_EMDAT[[#This Row],[Budget_Allocated_USD]] - tbl_EMDAT[[#This Row],[Actual_Spending_USD]]</f>
        <v>100000</v>
      </c>
    </row>
    <row r="80" spans="1:21" x14ac:dyDescent="0.25">
      <c r="A80" s="1" t="s">
        <v>133</v>
      </c>
      <c r="B80">
        <v>2022</v>
      </c>
      <c r="C80" s="1" t="s">
        <v>22</v>
      </c>
      <c r="D80" s="1" t="s">
        <v>23</v>
      </c>
      <c r="E80" s="1" t="s">
        <v>30</v>
      </c>
      <c r="F80" s="1" t="s">
        <v>134</v>
      </c>
      <c r="G80" s="1" t="s">
        <v>135</v>
      </c>
      <c r="H80" s="1" t="s">
        <v>27</v>
      </c>
      <c r="K80">
        <v>10415</v>
      </c>
      <c r="M80">
        <v>10415</v>
      </c>
      <c r="O80" s="1" t="s">
        <v>136</v>
      </c>
      <c r="P80">
        <v>1000000</v>
      </c>
      <c r="Q80">
        <v>900000</v>
      </c>
      <c r="R80" s="4">
        <v>3124.5</v>
      </c>
      <c r="S80" s="2">
        <v>0.65</v>
      </c>
      <c r="T80" s="3">
        <f>IFERROR(tbl_EMDAT[[#This Row],[Actual_Spending_USD]]/tbl_EMDAT[[#This Row],[Beneficiaries_Served]], 0)</f>
        <v>288.04608737397984</v>
      </c>
      <c r="U80">
        <f>tbl_EMDAT[[#This Row],[Budget_Allocated_USD]] - tbl_EMDAT[[#This Row],[Actual_Spending_USD]]</f>
        <v>100000</v>
      </c>
    </row>
    <row r="81" spans="1:21" x14ac:dyDescent="0.25">
      <c r="A81" s="1" t="s">
        <v>54</v>
      </c>
      <c r="B81">
        <v>2022</v>
      </c>
      <c r="C81" s="1" t="s">
        <v>22</v>
      </c>
      <c r="D81" s="1" t="s">
        <v>23</v>
      </c>
      <c r="E81" s="1" t="s">
        <v>30</v>
      </c>
      <c r="F81" s="1" t="s">
        <v>31</v>
      </c>
      <c r="G81" s="1" t="s">
        <v>32</v>
      </c>
      <c r="H81" s="1" t="s">
        <v>27</v>
      </c>
      <c r="J81">
        <v>44</v>
      </c>
      <c r="K81">
        <v>147378</v>
      </c>
      <c r="M81">
        <v>147422</v>
      </c>
      <c r="N81">
        <v>1501</v>
      </c>
      <c r="O81" s="1" t="s">
        <v>28</v>
      </c>
      <c r="P81">
        <v>2000000</v>
      </c>
      <c r="Q81">
        <v>1800000</v>
      </c>
      <c r="R81" s="4">
        <v>58968.800000000003</v>
      </c>
      <c r="S81" s="2">
        <v>0.8</v>
      </c>
      <c r="T81" s="3">
        <f>IFERROR(tbl_EMDAT[[#This Row],[Actual_Spending_USD]]/tbl_EMDAT[[#This Row],[Beneficiaries_Served]], 0)</f>
        <v>30.52461640732048</v>
      </c>
      <c r="U81">
        <f>tbl_EMDAT[[#This Row],[Budget_Allocated_USD]] - tbl_EMDAT[[#This Row],[Actual_Spending_USD]]</f>
        <v>200000</v>
      </c>
    </row>
    <row r="82" spans="1:21" x14ac:dyDescent="0.25">
      <c r="A82" s="1" t="s">
        <v>93</v>
      </c>
      <c r="B82">
        <v>2024</v>
      </c>
      <c r="C82" s="1" t="s">
        <v>22</v>
      </c>
      <c r="D82" s="1" t="s">
        <v>23</v>
      </c>
      <c r="E82" s="1" t="s">
        <v>70</v>
      </c>
      <c r="F82" s="1" t="s">
        <v>75</v>
      </c>
      <c r="G82" s="1" t="s">
        <v>76</v>
      </c>
      <c r="H82" s="1" t="s">
        <v>27</v>
      </c>
      <c r="I82">
        <v>6</v>
      </c>
      <c r="J82">
        <v>8</v>
      </c>
      <c r="K82">
        <v>52000</v>
      </c>
      <c r="M82">
        <v>52008</v>
      </c>
      <c r="N82">
        <v>20000</v>
      </c>
      <c r="O82" s="1" t="s">
        <v>73</v>
      </c>
      <c r="P82">
        <v>2000000</v>
      </c>
      <c r="Q82">
        <v>1800000</v>
      </c>
      <c r="R82" s="4">
        <v>13002</v>
      </c>
      <c r="S82" s="2">
        <v>0.85</v>
      </c>
      <c r="T82" s="3">
        <f>IFERROR(tbl_EMDAT[[#This Row],[Actual_Spending_USD]]/tbl_EMDAT[[#This Row],[Beneficiaries_Served]], 0)</f>
        <v>138.4402399630826</v>
      </c>
      <c r="U82">
        <f>tbl_EMDAT[[#This Row],[Budget_Allocated_USD]] - tbl_EMDAT[[#This Row],[Actual_Spending_USD]]</f>
        <v>200000</v>
      </c>
    </row>
    <row r="83" spans="1:21" x14ac:dyDescent="0.25">
      <c r="A83" s="1" t="s">
        <v>129</v>
      </c>
      <c r="B83">
        <v>2025</v>
      </c>
      <c r="C83" s="1" t="s">
        <v>22</v>
      </c>
      <c r="D83" s="1" t="s">
        <v>23</v>
      </c>
      <c r="E83" s="1" t="s">
        <v>70</v>
      </c>
      <c r="F83" s="1" t="s">
        <v>75</v>
      </c>
      <c r="G83" s="1" t="s">
        <v>130</v>
      </c>
      <c r="H83" s="1" t="s">
        <v>27</v>
      </c>
      <c r="I83">
        <v>34</v>
      </c>
      <c r="J83">
        <v>51</v>
      </c>
      <c r="K83">
        <v>7660000</v>
      </c>
      <c r="M83">
        <v>7660051</v>
      </c>
      <c r="O83" s="1" t="s">
        <v>73</v>
      </c>
      <c r="P83">
        <v>3000000</v>
      </c>
      <c r="Q83">
        <v>2700000</v>
      </c>
      <c r="R83" s="4">
        <v>2298015.2999999998</v>
      </c>
      <c r="S83" s="2">
        <v>0.79</v>
      </c>
      <c r="T83" s="3">
        <f>IFERROR(tbl_EMDAT[[#This Row],[Actual_Spending_USD]]/tbl_EMDAT[[#This Row],[Beneficiaries_Served]], 0)</f>
        <v>1.1749269032281902</v>
      </c>
      <c r="U83">
        <f>tbl_EMDAT[[#This Row],[Budget_Allocated_USD]] - tbl_EMDAT[[#This Row],[Actual_Spending_USD]]</f>
        <v>300000</v>
      </c>
    </row>
    <row r="84" spans="1:21" x14ac:dyDescent="0.25">
      <c r="A84" s="1" t="s">
        <v>127</v>
      </c>
      <c r="B84">
        <v>2025</v>
      </c>
      <c r="C84" s="1" t="s">
        <v>22</v>
      </c>
      <c r="D84" s="1" t="s">
        <v>23</v>
      </c>
      <c r="E84" s="1" t="s">
        <v>70</v>
      </c>
      <c r="F84" s="1" t="s">
        <v>75</v>
      </c>
      <c r="G84" s="1" t="s">
        <v>76</v>
      </c>
      <c r="H84" s="1" t="s">
        <v>27</v>
      </c>
      <c r="I84">
        <v>38</v>
      </c>
      <c r="J84">
        <v>8</v>
      </c>
      <c r="K84">
        <v>6000000</v>
      </c>
      <c r="M84">
        <v>6000008</v>
      </c>
      <c r="O84" s="1" t="s">
        <v>73</v>
      </c>
      <c r="P84">
        <v>3000000</v>
      </c>
      <c r="Q84">
        <v>2700000</v>
      </c>
      <c r="R84" s="4">
        <v>1200001.6000000001</v>
      </c>
      <c r="S84" s="2">
        <v>0.8</v>
      </c>
      <c r="T84" s="3">
        <f>IFERROR(tbl_EMDAT[[#This Row],[Actual_Spending_USD]]/tbl_EMDAT[[#This Row],[Beneficiaries_Served]], 0)</f>
        <v>2.2499970000039999</v>
      </c>
      <c r="U84">
        <f>tbl_EMDAT[[#This Row],[Budget_Allocated_USD]] - tbl_EMDAT[[#This Row],[Actual_Spending_USD]]</f>
        <v>300000</v>
      </c>
    </row>
    <row r="85" spans="1:21" x14ac:dyDescent="0.25">
      <c r="A85" s="1" t="s">
        <v>124</v>
      </c>
      <c r="B85">
        <v>2025</v>
      </c>
      <c r="C85" s="1" t="s">
        <v>22</v>
      </c>
      <c r="D85" s="1" t="s">
        <v>23</v>
      </c>
      <c r="E85" s="1" t="s">
        <v>70</v>
      </c>
      <c r="F85" s="1" t="s">
        <v>75</v>
      </c>
      <c r="G85" s="1" t="s">
        <v>76</v>
      </c>
      <c r="H85" s="1" t="s">
        <v>27</v>
      </c>
      <c r="I85">
        <v>55</v>
      </c>
      <c r="J85">
        <v>41</v>
      </c>
      <c r="K85">
        <v>4580000</v>
      </c>
      <c r="M85">
        <v>4580041</v>
      </c>
      <c r="O85" s="1" t="s">
        <v>73</v>
      </c>
      <c r="P85">
        <v>3000000</v>
      </c>
      <c r="Q85">
        <v>2700000</v>
      </c>
      <c r="R85" s="4">
        <v>1145010.25</v>
      </c>
      <c r="S85" s="2">
        <v>0.75</v>
      </c>
      <c r="T85" s="3">
        <f>IFERROR(tbl_EMDAT[[#This Row],[Actual_Spending_USD]]/tbl_EMDAT[[#This Row],[Beneficiaries_Served]], 0)</f>
        <v>2.3580574933717844</v>
      </c>
      <c r="U85">
        <f>tbl_EMDAT[[#This Row],[Budget_Allocated_USD]] - tbl_EMDAT[[#This Row],[Actual_Spending_USD]]</f>
        <v>300000</v>
      </c>
    </row>
    <row r="86" spans="1:21" x14ac:dyDescent="0.25">
      <c r="A86" s="1" t="s">
        <v>122</v>
      </c>
      <c r="B86">
        <v>2020</v>
      </c>
      <c r="C86" s="1" t="s">
        <v>22</v>
      </c>
      <c r="D86" s="1" t="s">
        <v>23</v>
      </c>
      <c r="E86" s="1" t="s">
        <v>70</v>
      </c>
      <c r="F86" s="1" t="s">
        <v>75</v>
      </c>
      <c r="G86" s="1" t="s">
        <v>76</v>
      </c>
      <c r="H86" s="1" t="s">
        <v>27</v>
      </c>
      <c r="I86">
        <v>31</v>
      </c>
      <c r="J86">
        <v>399</v>
      </c>
      <c r="K86">
        <v>3355995</v>
      </c>
      <c r="M86">
        <v>3356394</v>
      </c>
      <c r="N86">
        <v>610011</v>
      </c>
      <c r="O86" s="1" t="s">
        <v>73</v>
      </c>
      <c r="P86">
        <v>3000000</v>
      </c>
      <c r="Q86">
        <v>2700000</v>
      </c>
      <c r="R86" s="4">
        <v>839098.5</v>
      </c>
      <c r="S86" s="2">
        <v>0.83</v>
      </c>
      <c r="T86" s="3">
        <f>IFERROR(tbl_EMDAT[[#This Row],[Actual_Spending_USD]]/tbl_EMDAT[[#This Row],[Beneficiaries_Served]], 0)</f>
        <v>3.2177390377887698</v>
      </c>
      <c r="U86">
        <f>tbl_EMDAT[[#This Row],[Budget_Allocated_USD]] - tbl_EMDAT[[#This Row],[Actual_Spending_USD]]</f>
        <v>300000</v>
      </c>
    </row>
    <row r="87" spans="1:21" x14ac:dyDescent="0.25">
      <c r="A87" s="1" t="s">
        <v>67</v>
      </c>
      <c r="B87">
        <v>2024</v>
      </c>
      <c r="C87" s="1" t="s">
        <v>22</v>
      </c>
      <c r="D87" s="1" t="s">
        <v>23</v>
      </c>
      <c r="E87" s="1" t="s">
        <v>24</v>
      </c>
      <c r="F87" s="1" t="s">
        <v>25</v>
      </c>
      <c r="G87" s="1" t="s">
        <v>26</v>
      </c>
      <c r="H87" s="1" t="s">
        <v>27</v>
      </c>
      <c r="I87">
        <v>22</v>
      </c>
      <c r="J87">
        <v>11</v>
      </c>
      <c r="K87">
        <v>1567339</v>
      </c>
      <c r="M87">
        <v>1567350</v>
      </c>
      <c r="N87">
        <v>65110</v>
      </c>
      <c r="O87" s="1" t="s">
        <v>28</v>
      </c>
      <c r="P87">
        <v>3000000</v>
      </c>
      <c r="Q87">
        <v>2700000</v>
      </c>
      <c r="R87" s="4">
        <v>548572.5</v>
      </c>
      <c r="S87" s="2">
        <v>0.8</v>
      </c>
      <c r="T87" s="3">
        <f>IFERROR(tbl_EMDAT[[#This Row],[Actual_Spending_USD]]/tbl_EMDAT[[#This Row],[Beneficiaries_Served]], 0)</f>
        <v>4.9218653869816658</v>
      </c>
      <c r="U87">
        <f>tbl_EMDAT[[#This Row],[Budget_Allocated_USD]] - tbl_EMDAT[[#This Row],[Actual_Spending_USD]]</f>
        <v>300000</v>
      </c>
    </row>
    <row r="88" spans="1:21" x14ac:dyDescent="0.25">
      <c r="A88" s="1" t="s">
        <v>118</v>
      </c>
      <c r="B88">
        <v>2019</v>
      </c>
      <c r="C88" s="1" t="s">
        <v>22</v>
      </c>
      <c r="D88" s="1" t="s">
        <v>23</v>
      </c>
      <c r="E88" s="1" t="s">
        <v>70</v>
      </c>
      <c r="F88" s="1" t="s">
        <v>75</v>
      </c>
      <c r="G88" s="1" t="s">
        <v>76</v>
      </c>
      <c r="H88" s="1" t="s">
        <v>27</v>
      </c>
      <c r="I88">
        <v>4</v>
      </c>
      <c r="J88">
        <v>318</v>
      </c>
      <c r="K88">
        <v>2305075</v>
      </c>
      <c r="L88">
        <v>342165</v>
      </c>
      <c r="M88">
        <v>2647558</v>
      </c>
      <c r="N88">
        <v>133927</v>
      </c>
      <c r="O88" s="1" t="s">
        <v>73</v>
      </c>
      <c r="P88">
        <v>3000000</v>
      </c>
      <c r="Q88">
        <v>2700000</v>
      </c>
      <c r="R88" s="4">
        <v>529511.6</v>
      </c>
      <c r="S88" s="2">
        <v>0.75</v>
      </c>
      <c r="T88" s="3">
        <f>IFERROR(tbl_EMDAT[[#This Row],[Actual_Spending_USD]]/tbl_EMDAT[[#This Row],[Beneficiaries_Served]], 0)</f>
        <v>5.0990384346631883</v>
      </c>
      <c r="U88">
        <f>tbl_EMDAT[[#This Row],[Budget_Allocated_USD]] - tbl_EMDAT[[#This Row],[Actual_Spending_USD]]</f>
        <v>300000</v>
      </c>
    </row>
    <row r="89" spans="1:21" x14ac:dyDescent="0.25">
      <c r="A89" s="1" t="s">
        <v>64</v>
      </c>
      <c r="B89">
        <v>2023</v>
      </c>
      <c r="C89" s="1" t="s">
        <v>22</v>
      </c>
      <c r="D89" s="1" t="s">
        <v>23</v>
      </c>
      <c r="E89" s="1" t="s">
        <v>24</v>
      </c>
      <c r="F89" s="1" t="s">
        <v>34</v>
      </c>
      <c r="G89" s="1" t="s">
        <v>35</v>
      </c>
      <c r="H89" s="1" t="s">
        <v>27</v>
      </c>
      <c r="I89">
        <v>2</v>
      </c>
      <c r="J89">
        <v>1</v>
      </c>
      <c r="K89">
        <v>1157487</v>
      </c>
      <c r="M89">
        <v>1157488</v>
      </c>
      <c r="N89">
        <v>2224</v>
      </c>
      <c r="O89" s="1" t="s">
        <v>28</v>
      </c>
      <c r="P89">
        <v>3000000</v>
      </c>
      <c r="Q89">
        <v>2700000</v>
      </c>
      <c r="R89" s="4">
        <v>462995.20000000001</v>
      </c>
      <c r="S89" s="2">
        <v>0.8</v>
      </c>
      <c r="T89" s="3">
        <f>IFERROR(tbl_EMDAT[[#This Row],[Actual_Spending_USD]]/tbl_EMDAT[[#This Row],[Beneficiaries_Served]], 0)</f>
        <v>5.8315939344511563</v>
      </c>
      <c r="U89">
        <f>tbl_EMDAT[[#This Row],[Budget_Allocated_USD]] - tbl_EMDAT[[#This Row],[Actual_Spending_USD]]</f>
        <v>300000</v>
      </c>
    </row>
    <row r="90" spans="1:21" x14ac:dyDescent="0.25">
      <c r="A90" s="1" t="s">
        <v>113</v>
      </c>
      <c r="B90">
        <v>2023</v>
      </c>
      <c r="C90" s="1" t="s">
        <v>22</v>
      </c>
      <c r="D90" s="1" t="s">
        <v>23</v>
      </c>
      <c r="E90" s="1" t="s">
        <v>70</v>
      </c>
      <c r="F90" s="1" t="s">
        <v>75</v>
      </c>
      <c r="G90" s="1" t="s">
        <v>76</v>
      </c>
      <c r="H90" s="1" t="s">
        <v>27</v>
      </c>
      <c r="I90">
        <v>4</v>
      </c>
      <c r="J90">
        <v>3</v>
      </c>
      <c r="K90">
        <v>900000</v>
      </c>
      <c r="M90">
        <v>900003</v>
      </c>
      <c r="N90">
        <v>33973</v>
      </c>
      <c r="O90" s="1" t="s">
        <v>73</v>
      </c>
      <c r="P90">
        <v>3000000</v>
      </c>
      <c r="Q90">
        <v>2700000</v>
      </c>
      <c r="R90" s="4">
        <v>270000.90000000002</v>
      </c>
      <c r="S90" s="2">
        <v>0.7</v>
      </c>
      <c r="T90" s="3">
        <f>IFERROR(tbl_EMDAT[[#This Row],[Actual_Spending_USD]]/tbl_EMDAT[[#This Row],[Beneficiaries_Served]], 0)</f>
        <v>9.9999666667777767</v>
      </c>
      <c r="U90">
        <f>tbl_EMDAT[[#This Row],[Budget_Allocated_USD]] - tbl_EMDAT[[#This Row],[Actual_Spending_USD]]</f>
        <v>300000</v>
      </c>
    </row>
    <row r="91" spans="1:21" x14ac:dyDescent="0.25">
      <c r="A91" s="1" t="s">
        <v>111</v>
      </c>
      <c r="B91">
        <v>2025</v>
      </c>
      <c r="C91" s="1" t="s">
        <v>22</v>
      </c>
      <c r="D91" s="1" t="s">
        <v>23</v>
      </c>
      <c r="E91" s="1" t="s">
        <v>70</v>
      </c>
      <c r="F91" s="1" t="s">
        <v>75</v>
      </c>
      <c r="G91" s="1" t="s">
        <v>76</v>
      </c>
      <c r="H91" s="1" t="s">
        <v>27</v>
      </c>
      <c r="I91">
        <v>11</v>
      </c>
      <c r="K91">
        <v>690000</v>
      </c>
      <c r="M91">
        <v>690000</v>
      </c>
      <c r="O91" s="1" t="s">
        <v>73</v>
      </c>
      <c r="P91">
        <v>3000000</v>
      </c>
      <c r="Q91">
        <v>2700000</v>
      </c>
      <c r="R91" s="4">
        <v>207000</v>
      </c>
      <c r="S91" s="2">
        <v>0.8</v>
      </c>
      <c r="T91" s="3">
        <f>IFERROR(tbl_EMDAT[[#This Row],[Actual_Spending_USD]]/tbl_EMDAT[[#This Row],[Beneficiaries_Served]], 0)</f>
        <v>13.043478260869565</v>
      </c>
      <c r="U91">
        <f>tbl_EMDAT[[#This Row],[Budget_Allocated_USD]] - tbl_EMDAT[[#This Row],[Actual_Spending_USD]]</f>
        <v>300000</v>
      </c>
    </row>
    <row r="92" spans="1:21" x14ac:dyDescent="0.25">
      <c r="A92" s="1" t="s">
        <v>59</v>
      </c>
      <c r="B92">
        <v>2022</v>
      </c>
      <c r="C92" s="1" t="s">
        <v>22</v>
      </c>
      <c r="D92" s="1" t="s">
        <v>23</v>
      </c>
      <c r="E92" s="1" t="s">
        <v>30</v>
      </c>
      <c r="F92" s="1" t="s">
        <v>31</v>
      </c>
      <c r="G92" s="1" t="s">
        <v>32</v>
      </c>
      <c r="H92" s="1" t="s">
        <v>27</v>
      </c>
      <c r="I92">
        <v>10</v>
      </c>
      <c r="J92">
        <v>394</v>
      </c>
      <c r="K92">
        <v>502462</v>
      </c>
      <c r="M92">
        <v>502856</v>
      </c>
      <c r="N92">
        <v>161853</v>
      </c>
      <c r="O92" s="1" t="s">
        <v>28</v>
      </c>
      <c r="P92">
        <v>3000000</v>
      </c>
      <c r="Q92">
        <v>2700000</v>
      </c>
      <c r="R92" s="4">
        <v>201142.39999999999</v>
      </c>
      <c r="S92" s="2">
        <v>0.83</v>
      </c>
      <c r="T92" s="3">
        <f>IFERROR(tbl_EMDAT[[#This Row],[Actual_Spending_USD]]/tbl_EMDAT[[#This Row],[Beneficiaries_Served]], 0)</f>
        <v>13.42332596210446</v>
      </c>
      <c r="U92">
        <f>tbl_EMDAT[[#This Row],[Budget_Allocated_USD]] - tbl_EMDAT[[#This Row],[Actual_Spending_USD]]</f>
        <v>300000</v>
      </c>
    </row>
    <row r="93" spans="1:21" x14ac:dyDescent="0.25">
      <c r="A93" s="1" t="s">
        <v>57</v>
      </c>
      <c r="B93">
        <v>2021</v>
      </c>
      <c r="C93" s="1" t="s">
        <v>22</v>
      </c>
      <c r="D93" s="1" t="s">
        <v>23</v>
      </c>
      <c r="E93" s="1" t="s">
        <v>24</v>
      </c>
      <c r="F93" s="1" t="s">
        <v>34</v>
      </c>
      <c r="G93" s="1" t="s">
        <v>35</v>
      </c>
      <c r="H93" s="1" t="s">
        <v>27</v>
      </c>
      <c r="I93">
        <v>2</v>
      </c>
      <c r="K93">
        <v>261580</v>
      </c>
      <c r="M93">
        <v>261580</v>
      </c>
      <c r="O93" s="1" t="s">
        <v>28</v>
      </c>
      <c r="P93">
        <v>3000000</v>
      </c>
      <c r="Q93">
        <v>2700000</v>
      </c>
      <c r="R93" s="4">
        <v>117711</v>
      </c>
      <c r="S93" s="2">
        <v>0.9</v>
      </c>
      <c r="T93" s="3">
        <f>IFERROR(tbl_EMDAT[[#This Row],[Actual_Spending_USD]]/tbl_EMDAT[[#This Row],[Beneficiaries_Served]], 0)</f>
        <v>22.937533450569614</v>
      </c>
      <c r="U93">
        <f>tbl_EMDAT[[#This Row],[Budget_Allocated_USD]] - tbl_EMDAT[[#This Row],[Actual_Spending_USD]]</f>
        <v>300000</v>
      </c>
    </row>
    <row r="94" spans="1:21" x14ac:dyDescent="0.25">
      <c r="A94" s="1" t="s">
        <v>106</v>
      </c>
      <c r="B94">
        <v>2025</v>
      </c>
      <c r="C94" s="1" t="s">
        <v>22</v>
      </c>
      <c r="D94" s="1" t="s">
        <v>23</v>
      </c>
      <c r="E94" s="1" t="s">
        <v>70</v>
      </c>
      <c r="F94" s="1" t="s">
        <v>75</v>
      </c>
      <c r="G94" s="1" t="s">
        <v>76</v>
      </c>
      <c r="H94" s="1" t="s">
        <v>27</v>
      </c>
      <c r="I94">
        <v>9</v>
      </c>
      <c r="J94">
        <v>1</v>
      </c>
      <c r="K94">
        <v>330000</v>
      </c>
      <c r="M94">
        <v>330001</v>
      </c>
      <c r="O94" s="1" t="s">
        <v>73</v>
      </c>
      <c r="P94">
        <v>3000000</v>
      </c>
      <c r="Q94">
        <v>2700000</v>
      </c>
      <c r="R94" s="4">
        <v>99000.3</v>
      </c>
      <c r="S94" s="2">
        <v>0.8</v>
      </c>
      <c r="T94" s="3">
        <f>IFERROR(tbl_EMDAT[[#This Row],[Actual_Spending_USD]]/tbl_EMDAT[[#This Row],[Beneficiaries_Served]], 0)</f>
        <v>27.27264462834961</v>
      </c>
      <c r="U94">
        <f>tbl_EMDAT[[#This Row],[Budget_Allocated_USD]] - tbl_EMDAT[[#This Row],[Actual_Spending_USD]]</f>
        <v>300000</v>
      </c>
    </row>
    <row r="95" spans="1:21" x14ac:dyDescent="0.25">
      <c r="A95" s="1" t="s">
        <v>101</v>
      </c>
      <c r="B95">
        <v>2021</v>
      </c>
      <c r="C95" s="1" t="s">
        <v>22</v>
      </c>
      <c r="D95" s="1" t="s">
        <v>23</v>
      </c>
      <c r="E95" s="1" t="s">
        <v>70</v>
      </c>
      <c r="F95" s="1" t="s">
        <v>75</v>
      </c>
      <c r="G95" s="1" t="s">
        <v>76</v>
      </c>
      <c r="H95" s="1" t="s">
        <v>27</v>
      </c>
      <c r="I95">
        <v>5</v>
      </c>
      <c r="J95">
        <v>2</v>
      </c>
      <c r="K95">
        <v>272451</v>
      </c>
      <c r="M95">
        <v>272453</v>
      </c>
      <c r="N95">
        <v>3605</v>
      </c>
      <c r="O95" s="1" t="s">
        <v>73</v>
      </c>
      <c r="P95">
        <v>3000000</v>
      </c>
      <c r="Q95">
        <v>2700000</v>
      </c>
      <c r="R95" s="4">
        <v>95358.55</v>
      </c>
      <c r="S95" s="2">
        <v>0.72</v>
      </c>
      <c r="T95" s="3">
        <f>IFERROR(tbl_EMDAT[[#This Row],[Actual_Spending_USD]]/tbl_EMDAT[[#This Row],[Beneficiaries_Served]], 0)</f>
        <v>28.314188921706549</v>
      </c>
      <c r="U95">
        <f>tbl_EMDAT[[#This Row],[Budget_Allocated_USD]] - tbl_EMDAT[[#This Row],[Actual_Spending_USD]]</f>
        <v>300000</v>
      </c>
    </row>
    <row r="96" spans="1:21" x14ac:dyDescent="0.25">
      <c r="A96" s="1" t="s">
        <v>55</v>
      </c>
      <c r="B96">
        <v>2023</v>
      </c>
      <c r="C96" s="1" t="s">
        <v>22</v>
      </c>
      <c r="D96" s="1" t="s">
        <v>23</v>
      </c>
      <c r="E96" s="1" t="s">
        <v>24</v>
      </c>
      <c r="F96" s="1" t="s">
        <v>34</v>
      </c>
      <c r="G96" s="1" t="s">
        <v>35</v>
      </c>
      <c r="H96" s="1" t="s">
        <v>27</v>
      </c>
      <c r="I96">
        <v>2</v>
      </c>
      <c r="K96">
        <v>215000</v>
      </c>
      <c r="M96">
        <v>215000</v>
      </c>
      <c r="N96">
        <v>5147</v>
      </c>
      <c r="O96" s="1" t="s">
        <v>28</v>
      </c>
      <c r="P96">
        <v>3000000</v>
      </c>
      <c r="Q96">
        <v>2700000</v>
      </c>
      <c r="R96" s="4">
        <v>86000</v>
      </c>
      <c r="S96" s="2">
        <v>0.75</v>
      </c>
      <c r="T96" s="3">
        <f>IFERROR(tbl_EMDAT[[#This Row],[Actual_Spending_USD]]/tbl_EMDAT[[#This Row],[Beneficiaries_Served]], 0)</f>
        <v>31.395348837209301</v>
      </c>
      <c r="U96">
        <f>tbl_EMDAT[[#This Row],[Budget_Allocated_USD]] - tbl_EMDAT[[#This Row],[Actual_Spending_USD]]</f>
        <v>300000</v>
      </c>
    </row>
    <row r="97" spans="1:21" x14ac:dyDescent="0.25">
      <c r="A97" s="1" t="s">
        <v>99</v>
      </c>
      <c r="B97">
        <v>2024</v>
      </c>
      <c r="C97" s="1" t="s">
        <v>22</v>
      </c>
      <c r="D97" s="1" t="s">
        <v>23</v>
      </c>
      <c r="E97" s="1" t="s">
        <v>70</v>
      </c>
      <c r="F97" s="1" t="s">
        <v>75</v>
      </c>
      <c r="G97" s="1" t="s">
        <v>76</v>
      </c>
      <c r="H97" s="1" t="s">
        <v>27</v>
      </c>
      <c r="I97">
        <v>4</v>
      </c>
      <c r="J97">
        <v>8</v>
      </c>
      <c r="K97">
        <v>219000</v>
      </c>
      <c r="M97">
        <v>219008</v>
      </c>
      <c r="N97">
        <v>11000</v>
      </c>
      <c r="O97" s="1" t="s">
        <v>73</v>
      </c>
      <c r="P97">
        <v>3000000</v>
      </c>
      <c r="Q97">
        <v>2700000</v>
      </c>
      <c r="R97" s="4">
        <v>65702.399999999994</v>
      </c>
      <c r="S97" s="2">
        <v>0.8</v>
      </c>
      <c r="T97" s="3">
        <f>IFERROR(tbl_EMDAT[[#This Row],[Actual_Spending_USD]]/tbl_EMDAT[[#This Row],[Beneficiaries_Served]], 0)</f>
        <v>41.094389246054945</v>
      </c>
      <c r="U97">
        <f>tbl_EMDAT[[#This Row],[Budget_Allocated_USD]] - tbl_EMDAT[[#This Row],[Actual_Spending_USD]]</f>
        <v>300000</v>
      </c>
    </row>
    <row r="98" spans="1:21" x14ac:dyDescent="0.25">
      <c r="A98" s="1" t="s">
        <v>98</v>
      </c>
      <c r="B98">
        <v>2024</v>
      </c>
      <c r="C98" s="1" t="s">
        <v>22</v>
      </c>
      <c r="D98" s="1" t="s">
        <v>23</v>
      </c>
      <c r="E98" s="1" t="s">
        <v>70</v>
      </c>
      <c r="F98" s="1" t="s">
        <v>75</v>
      </c>
      <c r="G98" s="1" t="s">
        <v>76</v>
      </c>
      <c r="H98" s="1" t="s">
        <v>27</v>
      </c>
      <c r="I98">
        <v>12</v>
      </c>
      <c r="J98">
        <v>11</v>
      </c>
      <c r="K98">
        <v>203000</v>
      </c>
      <c r="M98">
        <v>203011</v>
      </c>
      <c r="O98" s="1" t="s">
        <v>73</v>
      </c>
      <c r="P98">
        <v>3000000</v>
      </c>
      <c r="Q98">
        <v>2700000</v>
      </c>
      <c r="R98" s="4">
        <v>40602.199999999997</v>
      </c>
      <c r="S98" s="2">
        <v>0.81</v>
      </c>
      <c r="T98" s="3">
        <f>IFERROR(tbl_EMDAT[[#This Row],[Actual_Spending_USD]]/tbl_EMDAT[[#This Row],[Beneficiaries_Served]], 0)</f>
        <v>66.498859667702746</v>
      </c>
      <c r="U98">
        <f>tbl_EMDAT[[#This Row],[Budget_Allocated_USD]] - tbl_EMDAT[[#This Row],[Actual_Spending_USD]]</f>
        <v>300000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A6555-BE38-4840-BA66-A35275E34CD2}">
  <dimension ref="A1:B8"/>
  <sheetViews>
    <sheetView workbookViewId="0">
      <selection sqref="A1:B8"/>
    </sheetView>
  </sheetViews>
  <sheetFormatPr defaultRowHeight="15" x14ac:dyDescent="0.25"/>
  <cols>
    <col min="1" max="1" width="21.140625" bestFit="1" customWidth="1"/>
    <col min="2" max="2" width="18.140625" bestFit="1" customWidth="1"/>
  </cols>
  <sheetData>
    <row r="1" spans="1:2" x14ac:dyDescent="0.25">
      <c r="A1" t="s">
        <v>146</v>
      </c>
      <c r="B1" t="s">
        <v>147</v>
      </c>
    </row>
    <row r="2" spans="1:2" x14ac:dyDescent="0.25">
      <c r="A2" s="1" t="s">
        <v>5</v>
      </c>
      <c r="B2" s="1" t="s">
        <v>14</v>
      </c>
    </row>
    <row r="3" spans="1:2" x14ac:dyDescent="0.25">
      <c r="A3" s="1" t="s">
        <v>34</v>
      </c>
      <c r="B3" s="1" t="s">
        <v>28</v>
      </c>
    </row>
    <row r="4" spans="1:2" x14ac:dyDescent="0.25">
      <c r="A4" s="1" t="s">
        <v>75</v>
      </c>
      <c r="B4" s="1" t="s">
        <v>73</v>
      </c>
    </row>
    <row r="5" spans="1:2" x14ac:dyDescent="0.25">
      <c r="A5" s="1" t="s">
        <v>31</v>
      </c>
      <c r="B5" s="1" t="s">
        <v>136</v>
      </c>
    </row>
    <row r="6" spans="1:2" x14ac:dyDescent="0.25">
      <c r="A6" s="1" t="s">
        <v>25</v>
      </c>
      <c r="B6" s="1" t="s">
        <v>28</v>
      </c>
    </row>
    <row r="7" spans="1:2" x14ac:dyDescent="0.25">
      <c r="A7" s="1" t="s">
        <v>134</v>
      </c>
      <c r="B7" s="1" t="s">
        <v>136</v>
      </c>
    </row>
    <row r="8" spans="1:2" x14ac:dyDescent="0.25">
      <c r="A8" s="1" t="s">
        <v>71</v>
      </c>
      <c r="B8" s="1" t="s">
        <v>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A70679-B2EC-48EA-8809-F946BC42E8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1-Budget vs Actual Spending</vt:lpstr>
      <vt:lpstr>2-Cost per Beneficiary</vt:lpstr>
      <vt:lpstr>3-Outcome Rate Distribution</vt:lpstr>
      <vt:lpstr>Total Affected vs Beneficiaries</vt:lpstr>
      <vt:lpstr>Master_Data</vt:lpstr>
      <vt:lpstr>Program_Mapping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2025-12-16T13:51:00Z</dcterms:created>
  <dcterms:modified xsi:type="dcterms:W3CDTF">2025-12-17T15:11:59Z</dcterms:modified>
</cp:coreProperties>
</file>